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  <sheet xmlns:r="http://schemas.openxmlformats.org/officeDocument/2006/relationships" name="Valu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name val="Calibri"/>
      <b val="1"/>
      <color rgb="0006152F"/>
      <sz val="13"/>
    </font>
    <font>
      <name val="Calibri"/>
      <i val="1"/>
      <color rgb="005B6474"/>
      <sz val="10"/>
    </font>
    <font>
      <name val="Calibri"/>
      <b val="1"/>
      <sz val="11"/>
    </font>
    <font>
      <name val="Calibri"/>
      <color rgb="000B4FB3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FFF1A6"/>
      </patternFill>
    </fill>
  </fills>
  <borders count="2">
    <border>
      <left/>
      <right/>
      <top/>
      <bottom/>
      <diagonal/>
    </border>
    <border>
      <top style="thin">
        <color rgb="00B8C2D0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4" fillId="0" borderId="0" pivotButton="0" quotePrefix="0" xfId="0"/>
    <xf numFmtId="10" fontId="4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0" fontId="5" fillId="0" borderId="0" pivotButton="0" quotePrefix="0" xfId="0"/>
    <xf numFmtId="4" fontId="0" fillId="0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0" fillId="3" borderId="1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54" customWidth="1" min="1" max="1"/>
    <col width="2" customWidth="1" min="2" max="2"/>
    <col width="12" customWidth="1" min="3" max="3"/>
  </cols>
  <sheetData>
    <row r="1">
      <c r="A1" s="1" t="inlineStr">
        <is>
          <t>Savli Cookware · first-cut DCF · inputs</t>
        </is>
      </c>
    </row>
    <row r="2">
      <c r="A2" s="2" t="inlineStr">
        <is>
          <t>Ishaan Sethi, 15 December 2026 · ₹ crore · value at 31 March 2026, year-end discounting</t>
        </is>
      </c>
    </row>
    <row r="3">
      <c r="A3" s="3" t="inlineStr">
        <is>
          <t>The three inputs</t>
        </is>
      </c>
    </row>
    <row r="4">
      <c r="A4" t="inlineStr">
        <is>
          <t>2025–26 revenue</t>
        </is>
      </c>
      <c r="C4" s="4" t="n">
        <v>186.4</v>
      </c>
    </row>
    <row r="5">
      <c r="A5" t="inlineStr">
        <is>
          <t>Revenue growth a year</t>
        </is>
      </c>
      <c r="C5" s="5" t="n">
        <v>0.12</v>
      </c>
    </row>
    <row r="6">
      <c r="A6" t="inlineStr">
        <is>
          <t>EBITDA margin</t>
        </is>
      </c>
      <c r="C6" s="5" t="n">
        <v>0.11</v>
      </c>
    </row>
    <row r="7">
      <c r="A7" t="inlineStr">
        <is>
          <t>WACC</t>
        </is>
      </c>
      <c r="C7" s="5" t="n">
        <v>0.13</v>
      </c>
    </row>
    <row r="8">
      <c r="A8" s="3" t="inlineStr">
        <is>
          <t>Fixed for this cut</t>
        </is>
      </c>
    </row>
    <row r="9">
      <c r="A9" t="inlineStr">
        <is>
          <t>Depreciation, % of revenue</t>
        </is>
      </c>
      <c r="C9" s="5" t="n">
        <v>0.021</v>
      </c>
    </row>
    <row r="10">
      <c r="A10" t="inlineStr">
        <is>
          <t>Capex, % of revenue</t>
        </is>
      </c>
      <c r="C10" s="5" t="n">
        <v>0.026</v>
      </c>
    </row>
    <row r="11">
      <c r="A11" t="inlineStr">
        <is>
          <t>Working capital, % of the rise in revenue</t>
        </is>
      </c>
      <c r="C11" s="5" t="n">
        <v>0.22</v>
      </c>
    </row>
    <row r="12">
      <c r="A12" t="inlineStr">
        <is>
          <t>Tax on EBIT (tax desk’s working rate)</t>
        </is>
      </c>
      <c r="C12" s="5" t="n">
        <v>0.2517</v>
      </c>
    </row>
    <row r="13">
      <c r="A13" t="inlineStr">
        <is>
          <t>Terminal growth</t>
        </is>
      </c>
      <c r="C13" s="5" t="n">
        <v>0.05</v>
      </c>
    </row>
    <row r="15">
      <c r="A15" s="3" t="inlineStr">
        <is>
          <t>Balance sheet at 31 March 2026</t>
        </is>
      </c>
    </row>
    <row r="16">
      <c r="A16" t="inlineStr">
        <is>
          <t>Bank borrowings (term loan 10.40 + cash credit 12.00)</t>
        </is>
      </c>
      <c r="C16" s="4" t="n">
        <v>22.4</v>
      </c>
    </row>
    <row r="17">
      <c r="A17" t="inlineStr">
        <is>
          <t>Loan from Hitesh Vasani</t>
        </is>
      </c>
      <c r="C17" s="4" t="n">
        <v>6</v>
      </c>
    </row>
    <row r="18">
      <c r="A18" t="inlineStr">
        <is>
          <t>Cash and bank balances, free to use</t>
        </is>
      </c>
      <c r="C18" s="4" t="n">
        <v>1.68</v>
      </c>
    </row>
    <row r="19">
      <c r="A19" t="inlineStr">
        <is>
          <t>Margin money under bank guarantees (not free cash)</t>
        </is>
      </c>
      <c r="C19" s="4" t="n">
        <v>2.4</v>
      </c>
    </row>
    <row r="21">
      <c r="A21" s="2" t="inlineStr">
        <is>
          <t>Blue figures are inputs. Fill the yellow cells, then change growth, margin or WACC: the DCF and Value sheets move with them.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6" t="inlineStr">
        <is>
          <t>₹ crore</t>
        </is>
      </c>
      <c r="B1" s="7" t="inlineStr">
        <is>
          <t>2025–26A</t>
        </is>
      </c>
      <c r="C1" s="7" t="inlineStr">
        <is>
          <t>2026–27E</t>
        </is>
      </c>
      <c r="D1" s="7" t="inlineStr">
        <is>
          <t>2027–28E</t>
        </is>
      </c>
      <c r="E1" s="7" t="inlineStr">
        <is>
          <t>2028–29E</t>
        </is>
      </c>
      <c r="F1" s="7" t="inlineStr">
        <is>
          <t>2029–30E</t>
        </is>
      </c>
      <c r="G1" s="7" t="inlineStr">
        <is>
          <t>2030–31E</t>
        </is>
      </c>
    </row>
    <row r="2">
      <c r="A2" s="8" t="inlineStr">
        <is>
          <t>Revenue</t>
        </is>
      </c>
      <c r="B2" s="9">
        <f>Inputs!C4</f>
        <v/>
      </c>
      <c r="C2" s="9">
        <f>B2*(1+Inputs!$C$5)</f>
        <v/>
      </c>
      <c r="D2" s="9">
        <f>C2*(1+Inputs!$C$5)</f>
        <v/>
      </c>
      <c r="E2" s="9">
        <f>D2*(1+Inputs!$C$5)</f>
        <v/>
      </c>
      <c r="F2" s="9">
        <f>E2*(1+Inputs!$C$5)</f>
        <v/>
      </c>
      <c r="G2" s="9">
        <f>F2*(1+Inputs!$C$5)</f>
        <v/>
      </c>
    </row>
    <row r="3">
      <c r="A3" s="8" t="inlineStr">
        <is>
          <t>EBITDA</t>
        </is>
      </c>
      <c r="C3" s="9">
        <f>C2*Inputs!$C$6</f>
        <v/>
      </c>
      <c r="D3" s="9">
        <f>D2*Inputs!$C$6</f>
        <v/>
      </c>
      <c r="E3" s="9">
        <f>E2*Inputs!$C$6</f>
        <v/>
      </c>
      <c r="F3" s="9">
        <f>F2*Inputs!$C$6</f>
        <v/>
      </c>
      <c r="G3" s="9">
        <f>G2*Inputs!$C$6</f>
        <v/>
      </c>
    </row>
    <row r="4">
      <c r="A4" s="8" t="inlineStr">
        <is>
          <t>Less: depreciation</t>
        </is>
      </c>
      <c r="C4" s="9">
        <f>C2*Inputs!$C$9</f>
        <v/>
      </c>
      <c r="D4" s="9">
        <f>D2*Inputs!$C$9</f>
        <v/>
      </c>
      <c r="E4" s="9">
        <f>E2*Inputs!$C$9</f>
        <v/>
      </c>
      <c r="F4" s="9">
        <f>F2*Inputs!$C$9</f>
        <v/>
      </c>
      <c r="G4" s="9">
        <f>G2*Inputs!$C$9</f>
        <v/>
      </c>
    </row>
    <row r="5">
      <c r="A5" s="3" t="inlineStr">
        <is>
          <t>EBIT</t>
        </is>
      </c>
      <c r="C5" s="10">
        <f>C3-C4</f>
        <v/>
      </c>
      <c r="D5" s="10">
        <f>D3-D4</f>
        <v/>
      </c>
      <c r="E5" s="10">
        <f>E3-E4</f>
        <v/>
      </c>
      <c r="F5" s="10">
        <f>F3-F4</f>
        <v/>
      </c>
      <c r="G5" s="10">
        <f>G3-G4</f>
        <v/>
      </c>
    </row>
    <row r="6">
      <c r="A6" s="8" t="inlineStr">
        <is>
          <t>Less: tax on EBIT</t>
        </is>
      </c>
      <c r="C6" s="11" t="n"/>
      <c r="D6" s="9">
        <f>D5*Inputs!$C$12</f>
        <v/>
      </c>
      <c r="E6" s="9">
        <f>E5*Inputs!$C$12</f>
        <v/>
      </c>
      <c r="F6" s="9">
        <f>F5*Inputs!$C$12</f>
        <v/>
      </c>
      <c r="G6" s="9">
        <f>G5*Inputs!$C$12</f>
        <v/>
      </c>
    </row>
    <row r="7">
      <c r="A7" s="3" t="inlineStr">
        <is>
          <t>NOPAT</t>
        </is>
      </c>
      <c r="C7" s="11" t="n"/>
      <c r="D7" s="9">
        <f>D5-D6</f>
        <v/>
      </c>
      <c r="E7" s="9">
        <f>E5-E6</f>
        <v/>
      </c>
      <c r="F7" s="9">
        <f>F5-F6</f>
        <v/>
      </c>
      <c r="G7" s="9">
        <f>G5-G6</f>
        <v/>
      </c>
    </row>
    <row r="8">
      <c r="A8" s="8" t="inlineStr">
        <is>
          <t>Add back: depreciation</t>
        </is>
      </c>
      <c r="C8" s="9">
        <f>C4</f>
        <v/>
      </c>
      <c r="D8" s="9">
        <f>D4</f>
        <v/>
      </c>
      <c r="E8" s="9">
        <f>E4</f>
        <v/>
      </c>
      <c r="F8" s="9">
        <f>F4</f>
        <v/>
      </c>
      <c r="G8" s="9">
        <f>G4</f>
        <v/>
      </c>
    </row>
    <row r="9">
      <c r="A9" s="8" t="inlineStr">
        <is>
          <t>Less: capex</t>
        </is>
      </c>
      <c r="C9" s="9">
        <f>C2*Inputs!$C$10</f>
        <v/>
      </c>
      <c r="D9" s="9">
        <f>D2*Inputs!$C$10</f>
        <v/>
      </c>
      <c r="E9" s="9">
        <f>E2*Inputs!$C$10</f>
        <v/>
      </c>
      <c r="F9" s="9">
        <f>F2*Inputs!$C$10</f>
        <v/>
      </c>
      <c r="G9" s="9">
        <f>G2*Inputs!$C$10</f>
        <v/>
      </c>
    </row>
    <row r="10">
      <c r="A10" s="8" t="inlineStr">
        <is>
          <t>Less: increase in working capital</t>
        </is>
      </c>
      <c r="C10" s="11" t="n"/>
      <c r="D10" s="9">
        <f>(D2-C2)*Inputs!$C$11</f>
        <v/>
      </c>
      <c r="E10" s="9">
        <f>(E2-D2)*Inputs!$C$11</f>
        <v/>
      </c>
      <c r="F10" s="9">
        <f>(F2-E2)*Inputs!$C$11</f>
        <v/>
      </c>
      <c r="G10" s="9">
        <f>(G2-F2)*Inputs!$C$11</f>
        <v/>
      </c>
    </row>
    <row r="11">
      <c r="A11" s="3" t="inlineStr">
        <is>
          <t>FCFF</t>
        </is>
      </c>
      <c r="C11" s="12" t="n"/>
      <c r="D11" s="10">
        <f>D7+D8-D9-D10</f>
        <v/>
      </c>
      <c r="E11" s="10">
        <f>E7+E8-E9-E10</f>
        <v/>
      </c>
      <c r="F11" s="10">
        <f>F7+F8-F9-F10</f>
        <v/>
      </c>
      <c r="G11" s="10">
        <f>G7+G8-G9-G10</f>
        <v/>
      </c>
    </row>
    <row r="12">
      <c r="A12" s="8" t="inlineStr">
        <is>
          <t>Discount factor at WACC</t>
        </is>
      </c>
      <c r="C12" s="13">
        <f>1/(1+Inputs!$C$7)^1</f>
        <v/>
      </c>
      <c r="D12" s="13">
        <f>1/(1+Inputs!$C$7)^2</f>
        <v/>
      </c>
      <c r="E12" s="13">
        <f>1/(1+Inputs!$C$7)^3</f>
        <v/>
      </c>
      <c r="F12" s="13">
        <f>1/(1+Inputs!$C$7)^4</f>
        <v/>
      </c>
      <c r="G12" s="13">
        <f>1/(1+Inputs!$C$7)^5</f>
        <v/>
      </c>
    </row>
    <row r="13">
      <c r="A13" s="8" t="inlineStr">
        <is>
          <t>PV of FCFF</t>
        </is>
      </c>
      <c r="C13" s="9">
        <f>C11*C12</f>
        <v/>
      </c>
      <c r="D13" s="9">
        <f>D11*D12</f>
        <v/>
      </c>
      <c r="E13" s="9">
        <f>E11*E12</f>
        <v/>
      </c>
      <c r="F13" s="9">
        <f>F11*F12</f>
        <v/>
      </c>
      <c r="G13" s="9">
        <f>G11*G12</f>
        <v/>
      </c>
    </row>
    <row r="15">
      <c r="A15" s="2" t="inlineStr">
        <is>
          <t>Yellow cells are yours: work 2026–27 by hand. The later years show the formulas to follow.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</cols>
  <sheetData>
    <row r="1">
      <c r="A1" s="6" t="inlineStr">
        <is>
          <t>₹ crore</t>
        </is>
      </c>
      <c r="B1" s="7" t="inlineStr">
        <is>
          <t>Lower</t>
        </is>
      </c>
      <c r="C1" s="7" t="inlineStr">
        <is>
          <t>Base</t>
        </is>
      </c>
      <c r="D1" s="7" t="inlineStr">
        <is>
          <t>Higher</t>
        </is>
      </c>
    </row>
    <row r="2">
      <c r="A2" t="inlineStr">
        <is>
          <t>WACC</t>
        </is>
      </c>
      <c r="B2" s="14">
        <f>C2-0.01</f>
        <v/>
      </c>
      <c r="C2" s="14">
        <f>Inputs!C7</f>
        <v/>
      </c>
      <c r="D2" s="14">
        <f>C2+0.01</f>
        <v/>
      </c>
    </row>
    <row r="3">
      <c r="A3" t="inlineStr">
        <is>
          <t>PV of FCFF, 2026–27 to 2030–31</t>
        </is>
      </c>
      <c r="B3" s="9">
        <f>DCF!C11/(1+B2)^1+DCF!D11/(1+B2)^2+DCF!E11/(1+B2)^3+DCF!F11/(1+B2)^4+DCF!G11/(1+B2)^5</f>
        <v/>
      </c>
      <c r="C3" s="9">
        <f>SUM(DCF!C13:G13)</f>
        <v/>
      </c>
      <c r="D3" s="9">
        <f>DCF!C11/(1+D2)^1+DCF!D11/(1+D2)^2+DCF!E11/(1+D2)^3+DCF!F11/(1+D2)^4+DCF!G11/(1+D2)^5</f>
        <v/>
      </c>
    </row>
    <row r="4">
      <c r="A4" t="inlineStr">
        <is>
          <t>Discount factor, end of 2030–31</t>
        </is>
      </c>
      <c r="B4" s="13">
        <f>1/(1+B2)^5</f>
        <v/>
      </c>
      <c r="C4" s="13">
        <f>1/(1+C2)^5</f>
        <v/>
      </c>
      <c r="D4" s="13">
        <f>1/(1+D2)^5</f>
        <v/>
      </c>
    </row>
    <row r="5">
      <c r="A5" s="8" t="inlineStr">
        <is>
          <t>Terminal value, end of 2030–31</t>
        </is>
      </c>
      <c r="B5" s="11" t="n"/>
      <c r="C5" s="11" t="n"/>
      <c r="D5" s="11" t="n"/>
    </row>
    <row r="6">
      <c r="A6" s="8" t="inlineStr">
        <is>
          <t>PV of terminal value</t>
        </is>
      </c>
      <c r="B6" s="11" t="n"/>
      <c r="C6" s="11" t="n"/>
      <c r="D6" s="11" t="n"/>
    </row>
    <row r="7">
      <c r="A7" s="3" t="inlineStr">
        <is>
          <t>Enterprise value</t>
        </is>
      </c>
      <c r="B7" s="11" t="n"/>
      <c r="C7" s="11" t="n"/>
      <c r="D7" s="11" t="n"/>
    </row>
    <row r="8">
      <c r="A8" s="8" t="inlineStr">
        <is>
          <t>Net debt, 31 March 2026</t>
        </is>
      </c>
      <c r="C8" s="11" t="n"/>
    </row>
    <row r="9">
      <c r="A9" s="3" t="inlineStr">
        <is>
          <t>Equity value</t>
        </is>
      </c>
      <c r="C9" s="11" t="n"/>
    </row>
    <row r="11">
      <c r="A11" s="2" t="inlineStr">
        <is>
          <t>Terminal growth is Inputs!C13 in every column; Lower and Higher are one point either side of the base WACC.</t>
        </is>
      </c>
    </row>
    <row r="12">
      <c r="A12" s="2" t="inlineStr">
        <is>
          <t>The PVs of FCFF are complete once your 2026–27 FCFF is in DCF!C11. Net debt and equity: Ishaan’s note says what counts.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>
  <dc:creator xmlns:dc="http://purl.org/dc/elements/1.1/">Bapat Venkatesh &amp; Co. · deals desk</dc:creator>
  <dc:title xmlns:dc="http://purl.org/dc/elements/1.1/">Savli Cookware · first-cut DCF</dc:title>
  <dcterms:created xmlns:dcterms="http://purl.org/dc/terms/" xmlns:xsi="http://www.w3.org/2001/XMLSchema-instance" xsi:type="dcterms:W3CDTF">2026-12-15T11:30:00Z</dcterms:created>
  <dcterms:modified xmlns:dcterms="http://purl.org/dc/terms/" xmlns:xsi="http://www.w3.org/2001/XMLSchema-instance" xsi:type="dcterms:W3CDTF">2026-12-15T11:30:00Z</dcterms:modified>
  <cp:lastModifiedBy>Bapat Venkatesh &amp; Co. · deals desk</cp:lastModifiedBy>
</cp:coreProperties>
</file>