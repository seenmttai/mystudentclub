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TB" sheetId="4" state="visible" r:id="rId4"/>
    <sheet xmlns:r="http://schemas.openxmlformats.org/officeDocument/2006/relationships" name="Varun" sheetId="5" state="visible" r:id="rId5"/>
    <sheet xmlns:r="http://schemas.openxmlformats.org/officeDocument/2006/relationships" name="Register" sheetId="6" state="visible" r:id="rId6"/>
    <sheet xmlns:r="http://schemas.openxmlformats.org/officeDocument/2006/relationships" name="Tie" sheetId="7" state="visible" r:id="rId7"/>
    <sheet xmlns:r="http://schemas.openxmlformats.org/officeDocument/2006/relationships" name="Pivo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-mmm-yyyy"/>
    <numFmt numFmtId="166" formatCode="[&gt;=10000000]##\,##\,##\,##0.00;[&gt;=100000]##\,##\,##0.00;##,##0.00"/>
  </numFmts>
  <fonts count="6">
    <font>
      <name val="Calibri"/>
      <family val="2"/>
      <color theme="1"/>
      <sz val="11"/>
      <scheme val="minor"/>
    </font>
    <font>
      <name val="Calibri"/>
      <b val="1"/>
      <color rgb="0006152F"/>
      <sz val="14"/>
    </font>
    <font>
      <name val="Calibri"/>
      <color rgb="005B6474"/>
      <sz val="10"/>
    </font>
    <font>
      <name val="Calibri"/>
      <b val="1"/>
      <color rgb="001F2A3D"/>
      <sz val="11"/>
    </font>
    <font>
      <name val="Calibri"/>
      <color rgb="001F2A3D"/>
      <sz val="11"/>
    </font>
    <font>
      <name val="Calibri"/>
      <i val="1"/>
      <color rgb="001F2A3D"/>
      <sz val="11"/>
    </font>
  </fonts>
  <fills count="5">
    <fill>
      <patternFill/>
    </fill>
    <fill>
      <patternFill patternType="gray125"/>
    </fill>
    <fill>
      <patternFill patternType="solid">
        <fgColor rgb="00FFF1A6"/>
      </patternFill>
    </fill>
    <fill>
      <patternFill patternType="solid">
        <fgColor rgb="00EEF2F8"/>
      </patternFill>
    </fill>
    <fill>
      <patternFill patternType="solid">
        <fgColor rgb="00FFF8D6"/>
      </patternFill>
    </fill>
  </fills>
  <borders count="12">
    <border>
      <left/>
      <right/>
      <top/>
      <bottom/>
      <diagonal/>
    </border>
    <border>
      <left style="thin">
        <color rgb="00E0C85A"/>
      </left>
      <top style="thin">
        <color rgb="00E0C85A"/>
      </top>
    </border>
    <border>
      <top style="thin">
        <color rgb="00E0C85A"/>
      </top>
    </border>
    <border>
      <right style="thin">
        <color rgb="00E0C85A"/>
      </right>
      <top style="thin">
        <color rgb="00E0C85A"/>
      </top>
    </border>
    <border>
      <left style="thin">
        <color rgb="00E0C85A"/>
      </left>
    </border>
    <border/>
    <border>
      <right style="thin">
        <color rgb="00E0C85A"/>
      </right>
    </border>
    <border>
      <left style="thin">
        <color rgb="00E0C85A"/>
      </left>
      <bottom style="thin">
        <color rgb="00E0C85A"/>
      </bottom>
    </border>
    <border>
      <bottom style="thin">
        <color rgb="00E0C85A"/>
      </bottom>
    </border>
    <border>
      <right style="thin">
        <color rgb="00E0C85A"/>
      </right>
      <bottom style="thin">
        <color rgb="00E0C85A"/>
      </bottom>
    </border>
    <border>
      <top style="thin">
        <color rgb="00B8C2D0"/>
      </top>
    </border>
    <border>
      <left style="thin">
        <color rgb="000057FF"/>
      </left>
      <right style="thin">
        <color rgb="000057FF"/>
      </right>
      <top style="thin">
        <color rgb="000057FF"/>
      </top>
      <bottom style="thin">
        <color rgb="000057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2" borderId="2" pivotButton="0" quotePrefix="0" xfId="0"/>
    <xf numFmtId="0" fontId="0" fillId="2" borderId="3" pivotButton="0" quotePrefix="0" xfId="0"/>
    <xf numFmtId="0" fontId="4" fillId="2" borderId="4" applyAlignment="1" pivotButton="0" quotePrefix="0" xfId="0">
      <alignment vertical="center"/>
    </xf>
    <xf numFmtId="0" fontId="0" fillId="2" borderId="5" pivotButton="0" quotePrefix="0" xfId="0"/>
    <xf numFmtId="0" fontId="0" fillId="2" borderId="6" pivotButton="0" quotePrefix="0" xfId="0"/>
    <xf numFmtId="0" fontId="4" fillId="2" borderId="7" applyAlignment="1" pivotButton="0" quotePrefix="0" xfId="0">
      <alignment vertical="center"/>
    </xf>
    <xf numFmtId="0" fontId="0" fillId="2" borderId="8" pivotButton="0" quotePrefix="0" xfId="0"/>
    <xf numFmtId="0" fontId="0" fillId="2" borderId="9" pivotButton="0" quotePrefix="0" xfId="0"/>
    <xf numFmtId="0" fontId="4" fillId="0" borderId="0" pivotButton="0" quotePrefix="0" xfId="0"/>
    <xf numFmtId="0" fontId="3" fillId="0" borderId="0" pivotButton="0" quotePrefix="0" xfId="0"/>
    <xf numFmtId="165" fontId="4" fillId="0" borderId="0" applyAlignment="1" pivotButton="0" quotePrefix="0" xfId="0">
      <alignment horizontal="right"/>
    </xf>
    <xf numFmtId="166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right" wrapText="1"/>
    </xf>
    <xf numFmtId="166" fontId="3" fillId="0" borderId="10" pivotButton="0" quotePrefix="0" xfId="0"/>
    <xf numFmtId="166" fontId="3" fillId="0" borderId="0" pivotButton="0" quotePrefix="0" xfId="0"/>
    <xf numFmtId="0" fontId="5" fillId="0" borderId="0" pivotButton="0" quotePrefix="0" xfId="0"/>
    <xf numFmtId="165" fontId="4" fillId="4" borderId="11" pivotButton="0" quotePrefix="0" xfId="0"/>
    <xf numFmtId="0" fontId="4" fillId="4" borderId="11" pivotButton="0" quotePrefix="0" xfId="0"/>
    <xf numFmtId="166" fontId="4" fillId="4" borderId="11" pivotButton="0" quotePrefix="0" xfId="0"/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525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0</row>
      <rowOff>0</rowOff>
    </from>
    <ext cx="116205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0</row>
      <rowOff>0</rowOff>
    </from>
    <ext cx="116205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0</row>
      <rowOff>0</rowOff>
    </from>
    <ext cx="116205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0</row>
      <rowOff>0</rowOff>
    </from>
    <ext cx="116205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3525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3525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3525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tabColor rgb="0006152F"/>
    <outlinePr summaryBelow="1" summaryRight="1"/>
    <pageSetUpPr fitToPage="1"/>
  </sheetPr>
  <dimension ref="A1:L1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D1" s="1" t="inlineStr">
        <is>
          <t>MSC Articleship Program | Work Simulation</t>
        </is>
      </c>
    </row>
    <row r="2" ht="18" customHeight="1">
      <c r="D2" s="2" t="inlineStr">
        <is>
          <t>Accounting 1 · Excel: raw export to a register</t>
        </is>
      </c>
    </row>
    <row r="4">
      <c r="A4" s="3" t="inlineStr">
        <is>
          <t>Tamhini Drivetech Private Limited · purchases of January–March 2027 · Wednesday 21 April 2027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</row>
    <row r="5">
      <c r="A5" s="6" t="inlineStr">
        <is>
          <t>1. Raw is Pallavi’s Excel copy of the Tally print. Leave it as it came: copy it, never clean it in place.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8" t="n"/>
    </row>
    <row r="6">
      <c r="A6" s="6" t="inlineStr">
        <is>
          <t>2. Register: paste a copy of the bills from row 6, headings in row 5. Take out every row that is not a bill, fix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n"/>
    </row>
    <row r="7">
      <c r="A7" s="6" t="inlineStr">
        <is>
          <t xml:space="preserve">    anything that would trip a formula, and bring each bill’s MSME status into column N from Vendors (exact match).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8" t="n"/>
    </row>
    <row r="8">
      <c r="A8" s="6" t="inlineStr">
        <is>
          <t>3. Tie: total each ledger from your register with SUMIFS, correct Varun’s two figures, and compare with the TB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 t="n"/>
    </row>
    <row r="9">
      <c r="A9" s="6" t="inlineStr">
        <is>
          <t xml:space="preserve">    for the same three months.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n"/>
    </row>
    <row r="10">
      <c r="A10" s="6" t="inlineStr">
        <is>
          <t>4. Pivot: supplier by month from your register. What one point would you give Rehan?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 t="n"/>
    </row>
    <row r="11">
      <c r="A11" s="9" t="inlineStr">
        <is>
          <t>Enter your answers in the Work Simulation. Cells in pale yellow with a blue border are yours.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1" t="n"/>
    </row>
    <row r="14">
      <c r="A14" s="2" t="inlineStr">
        <is>
          <t>Sheets: Raw · Vendors · TB · Varun (his checks and his tie) · Register · Tie · Pivot</t>
        </is>
      </c>
    </row>
  </sheetData>
  <pageMargins left="0.75" right="0.75" top="1" bottom="1" header="0.5" footer="0.5"/>
  <pageSetup orientation="landscape" fitToHeight="0" fitToWidth="1"/>
  <headerFooter>
    <oddHeader>&amp;C&amp;9 MSC Articleship Program | Work Simulation</oddHeader>
    <oddFooter>&amp;C&amp;9 CA Padam Bhansali | My Student Club ·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9AA3B2"/>
    <outlinePr summaryBelow="1" summaryRight="1"/>
    <pageSetUpPr fitToPage="1"/>
  </sheetPr>
  <dimension ref="A1:M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" customWidth="1" min="3" max="3"/>
    <col width="16" customWidth="1" min="4" max="4"/>
    <col width="15" customWidth="1" min="5" max="5"/>
    <col width="19" customWidth="1" min="6" max="6"/>
    <col width="3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</cols>
  <sheetData>
    <row r="1">
      <c r="B1" s="12" t="inlineStr">
        <is>
          <t>Tamhini Drivetech Private Limited</t>
        </is>
      </c>
    </row>
    <row r="2">
      <c r="B2" s="12" t="inlineStr">
        <is>
          <t>B-47, MIDC Chakan Phase II, Pune 410501</t>
        </is>
      </c>
    </row>
    <row r="3">
      <c r="B3" s="12" t="inlineStr">
        <is>
          <t>Purchase Register</t>
        </is>
      </c>
    </row>
    <row r="4">
      <c r="B4" s="12" t="inlineStr">
        <is>
          <t>1-Jan-2027 to 31-Mar-2027</t>
        </is>
      </c>
    </row>
    <row r="5">
      <c r="A5" s="13" t="inlineStr">
        <is>
          <t>Date</t>
        </is>
      </c>
      <c r="B5" s="13" t="inlineStr">
        <is>
          <t>Particulars</t>
        </is>
      </c>
      <c r="C5" s="13" t="inlineStr">
        <is>
          <t>Vch No.</t>
        </is>
      </c>
      <c r="D5" s="13" t="inlineStr">
        <is>
          <t>Supplier Inv No.</t>
        </is>
      </c>
      <c r="E5" s="13" t="inlineStr">
        <is>
          <t>Supplier Inv Date</t>
        </is>
      </c>
      <c r="F5" s="13" t="inlineStr">
        <is>
          <t>GSTIN/UIN</t>
        </is>
      </c>
      <c r="G5" s="13" t="inlineStr">
        <is>
          <t>Purchase Ledger</t>
        </is>
      </c>
      <c r="H5" s="13" t="inlineStr">
        <is>
          <t>Taxable Value</t>
        </is>
      </c>
      <c r="I5" s="13" t="inlineStr">
        <is>
          <t>CGST</t>
        </is>
      </c>
      <c r="J5" s="13" t="inlineStr">
        <is>
          <t>SGST</t>
        </is>
      </c>
      <c r="K5" s="13" t="inlineStr">
        <is>
          <t>IGST</t>
        </is>
      </c>
      <c r="L5" s="13" t="inlineStr">
        <is>
          <t>Round Off</t>
        </is>
      </c>
      <c r="M5" s="13" t="inlineStr">
        <is>
          <t>Gross Total</t>
        </is>
      </c>
    </row>
    <row r="6">
      <c r="A6" s="14" t="n">
        <v>46389</v>
      </c>
      <c r="B6" s="12" t="inlineStr">
        <is>
          <t>Kolak Polypack Private Limited</t>
        </is>
      </c>
      <c r="C6" s="12" t="n">
        <v>2251</v>
      </c>
      <c r="D6" s="12" t="inlineStr">
        <is>
          <t>KP/26-27/1253</t>
        </is>
      </c>
      <c r="E6" s="14" t="n">
        <v>46386</v>
      </c>
      <c r="F6" s="12" t="inlineStr">
        <is>
          <t>24WGHCK4121C1Z7</t>
        </is>
      </c>
      <c r="G6" s="12" t="inlineStr">
        <is>
          <t>Purchases – packing materials</t>
        </is>
      </c>
      <c r="H6" s="15" t="n">
        <v>146000</v>
      </c>
      <c r="K6" s="15" t="n">
        <v>26280</v>
      </c>
      <c r="M6" s="15" t="n">
        <v>172280</v>
      </c>
    </row>
    <row r="7">
      <c r="B7" s="12" t="inlineStr">
        <is>
          <t>(Recd 2-1-2027 vide GRN-2027-01-0017)</t>
        </is>
      </c>
    </row>
    <row r="8">
      <c r="A8" s="14" t="n">
        <v>46391</v>
      </c>
      <c r="B8" s="12" t="inlineStr">
        <is>
          <t>Moshi Corrugators</t>
        </is>
      </c>
      <c r="C8" s="12" t="n">
        <v>2271</v>
      </c>
      <c r="D8" s="12" t="inlineStr">
        <is>
          <t>MC/26-27/214</t>
        </is>
      </c>
      <c r="E8" s="14" t="n">
        <v>46391</v>
      </c>
      <c r="F8" s="12" t="inlineStr">
        <is>
          <t>27YNLPL0717M1Z1</t>
        </is>
      </c>
      <c r="G8" s="12" t="inlineStr">
        <is>
          <t>Purchases – packing materials</t>
        </is>
      </c>
      <c r="H8" s="15" t="n">
        <v>76800</v>
      </c>
      <c r="I8" s="15" t="n">
        <v>1920</v>
      </c>
      <c r="J8" s="15" t="n">
        <v>1920</v>
      </c>
      <c r="M8" s="15" t="n">
        <v>80640</v>
      </c>
    </row>
    <row r="9">
      <c r="A9" s="14" t="n">
        <v>46394</v>
      </c>
      <c r="B9" s="12" t="inlineStr">
        <is>
          <t>Moshi Corrugators</t>
        </is>
      </c>
      <c r="C9" s="12" t="n">
        <v>2305</v>
      </c>
      <c r="D9" s="12" t="inlineStr">
        <is>
          <t>MC/26-27/217</t>
        </is>
      </c>
      <c r="E9" s="14" t="n">
        <v>46394</v>
      </c>
      <c r="F9" s="12" t="inlineStr">
        <is>
          <t>27YNLPL0717M1Z1</t>
        </is>
      </c>
      <c r="G9" s="12" t="inlineStr">
        <is>
          <t>Purchases – packing materials</t>
        </is>
      </c>
      <c r="H9" s="15" t="n">
        <v>86400</v>
      </c>
      <c r="I9" s="15" t="n">
        <v>2160</v>
      </c>
      <c r="J9" s="15" t="n">
        <v>2160</v>
      </c>
      <c r="M9" s="15" t="n">
        <v>90720</v>
      </c>
    </row>
    <row r="10">
      <c r="B10" s="12" t="inlineStr">
        <is>
          <t>(Being 3,600 nos 3-ply boxes, GRN-2027-01-0086)</t>
        </is>
      </c>
    </row>
    <row r="11">
      <c r="A11" s="14" t="n">
        <v>46394</v>
      </c>
      <c r="B11" s="12" t="inlineStr">
        <is>
          <t>Hebbal Tooling Solutions Private Limited</t>
        </is>
      </c>
      <c r="C11" s="12" t="n">
        <v>2308</v>
      </c>
      <c r="D11" s="12" t="inlineStr">
        <is>
          <t>HTS/26-27/0874</t>
        </is>
      </c>
      <c r="E11" s="14" t="n">
        <v>46391</v>
      </c>
      <c r="F11" s="12" t="inlineStr">
        <is>
          <t>29ZEMCH0865A1ZP</t>
        </is>
      </c>
      <c r="G11" s="12" t="inlineStr">
        <is>
          <t>Purchases – stores and consumables</t>
        </is>
      </c>
      <c r="H11" s="15" t="n">
        <v>312500</v>
      </c>
      <c r="K11" s="15" t="n">
        <v>56250</v>
      </c>
      <c r="M11" s="15" t="n">
        <v>368750</v>
      </c>
    </row>
    <row r="12">
      <c r="A12" s="14" t="n">
        <v>46395</v>
      </c>
      <c r="B12" s="12" t="inlineStr">
        <is>
          <t>Mundhwa Lubricants and Chemicals</t>
        </is>
      </c>
      <c r="C12" s="12" t="n">
        <v>2313</v>
      </c>
      <c r="D12" s="12" t="inlineStr">
        <is>
          <t>MLC/26-27/1196</t>
        </is>
      </c>
      <c r="E12" s="14" t="n">
        <v>46395</v>
      </c>
      <c r="F12" s="12" t="inlineStr">
        <is>
          <t>27WHQFM7542F1ZX</t>
        </is>
      </c>
      <c r="G12" s="12" t="inlineStr">
        <is>
          <t>Purchases – stores and consumables</t>
        </is>
      </c>
      <c r="H12" s="15" t="n">
        <v>394600</v>
      </c>
      <c r="I12" s="15" t="n">
        <v>35514</v>
      </c>
      <c r="J12" s="15" t="n">
        <v>35514</v>
      </c>
      <c r="M12" s="15" t="n">
        <v>465628</v>
      </c>
    </row>
    <row r="13">
      <c r="A13" s="14" t="n">
        <v>46400</v>
      </c>
      <c r="B13" s="12" t="inlineStr">
        <is>
          <t>Moshi Corrugators</t>
        </is>
      </c>
      <c r="C13" s="12" t="n">
        <v>2367</v>
      </c>
      <c r="D13" s="12" t="inlineStr">
        <is>
          <t>MC/26-27/222</t>
        </is>
      </c>
      <c r="E13" s="14" t="n">
        <v>46400</v>
      </c>
      <c r="F13" s="12" t="inlineStr">
        <is>
          <t>27YNLPL0717M1Z1</t>
        </is>
      </c>
      <c r="G13" s="12" t="inlineStr">
        <is>
          <t>Purchases – packing materials</t>
        </is>
      </c>
      <c r="H13" s="15" t="n">
        <v>92160</v>
      </c>
      <c r="I13" s="15" t="n">
        <v>2304</v>
      </c>
      <c r="J13" s="15" t="n">
        <v>2304</v>
      </c>
      <c r="M13" s="15" t="n">
        <v>96768</v>
      </c>
    </row>
    <row r="14">
      <c r="A14" s="14" t="n">
        <v>46400</v>
      </c>
      <c r="B14" s="12" t="inlineStr">
        <is>
          <t>Alandi Paper Products</t>
        </is>
      </c>
      <c r="C14" s="12" t="n">
        <v>2370</v>
      </c>
      <c r="D14" s="12" t="inlineStr">
        <is>
          <t>APP/26-27/0149</t>
        </is>
      </c>
      <c r="E14" s="14" t="n">
        <v>46399</v>
      </c>
      <c r="F14" s="12" t="inlineStr">
        <is>
          <t>27ZDLPK9230K1ZG</t>
        </is>
      </c>
      <c r="G14" s="12" t="inlineStr">
        <is>
          <t>Purchases – packing materials</t>
        </is>
      </c>
      <c r="H14" s="15" t="n">
        <v>240000</v>
      </c>
      <c r="I14" s="15" t="n">
        <v>6000</v>
      </c>
      <c r="J14" s="15" t="n">
        <v>6000</v>
      </c>
      <c r="M14" s="15" t="n">
        <v>252000</v>
      </c>
    </row>
    <row r="15">
      <c r="A15" s="14" t="n">
        <v>46401</v>
      </c>
      <c r="B15" s="12" t="inlineStr">
        <is>
          <t>Hebbal Tooling Solutions Private Limited</t>
        </is>
      </c>
      <c r="C15" s="12" t="n">
        <v>2380</v>
      </c>
      <c r="D15" s="12" t="inlineStr">
        <is>
          <t>HTS/26-27/0879</t>
        </is>
      </c>
      <c r="E15" s="14" t="n">
        <v>46398</v>
      </c>
      <c r="F15" s="12" t="inlineStr">
        <is>
          <t>29ZEMCH0865A1ZP</t>
        </is>
      </c>
      <c r="G15" s="12" t="inlineStr">
        <is>
          <t>Purchases – stores and consumables</t>
        </is>
      </c>
      <c r="H15" s="15" t="n">
        <v>328000</v>
      </c>
      <c r="K15" s="15" t="n">
        <v>59040</v>
      </c>
      <c r="M15" s="15" t="n">
        <v>387040</v>
      </c>
    </row>
    <row r="16">
      <c r="A16" s="14" t="n">
        <v>46405</v>
      </c>
      <c r="B16" s="12" t="inlineStr">
        <is>
          <t>Moshi Corrugators</t>
        </is>
      </c>
      <c r="C16" s="12" t="n">
        <v>2421</v>
      </c>
      <c r="D16" s="12" t="inlineStr">
        <is>
          <t>MC/26-27/226</t>
        </is>
      </c>
      <c r="E16" s="14" t="n">
        <v>46405</v>
      </c>
      <c r="F16" s="12" t="inlineStr">
        <is>
          <t>27YNLPL0717M1Z1</t>
        </is>
      </c>
      <c r="G16" s="12" t="inlineStr">
        <is>
          <t>Purchases – packing materials</t>
        </is>
      </c>
      <c r="H16" s="15" t="n">
        <v>86400</v>
      </c>
      <c r="I16" s="15" t="n">
        <v>2160</v>
      </c>
      <c r="J16" s="15" t="n">
        <v>2160</v>
      </c>
      <c r="M16" s="15" t="n">
        <v>90720</v>
      </c>
    </row>
    <row r="17">
      <c r="A17" s="14" t="n">
        <v>46406</v>
      </c>
      <c r="B17" s="12" t="inlineStr">
        <is>
          <t>Kolak Polypack Private Limited</t>
        </is>
      </c>
      <c r="C17" s="12" t="n">
        <v>2434</v>
      </c>
      <c r="D17" s="12" t="inlineStr">
        <is>
          <t>KP/26-27/1264</t>
        </is>
      </c>
      <c r="E17" s="14" t="n">
        <v>46403</v>
      </c>
      <c r="F17" s="12" t="inlineStr">
        <is>
          <t>24WGHCK4121C1Z7</t>
        </is>
      </c>
      <c r="G17" s="12" t="inlineStr">
        <is>
          <t>Purchases – packing materials</t>
        </is>
      </c>
      <c r="H17" s="15" t="n">
        <v>136000</v>
      </c>
      <c r="K17" s="15" t="n">
        <v>24480</v>
      </c>
      <c r="M17" s="15" t="n">
        <v>160480</v>
      </c>
    </row>
    <row r="18">
      <c r="A18" s="14" t="n">
        <v>46406</v>
      </c>
      <c r="B18" s="12" t="inlineStr">
        <is>
          <t>Mundhwa Lubricants and Chemicals</t>
        </is>
      </c>
      <c r="C18" s="12" t="n">
        <v>2437</v>
      </c>
      <c r="D18" s="12" t="inlineStr">
        <is>
          <t>MLC/26-27/1238</t>
        </is>
      </c>
      <c r="E18" s="14" t="n">
        <v>46406</v>
      </c>
      <c r="F18" s="12" t="inlineStr">
        <is>
          <t xml:space="preserve">27WHQFM7542F1ZX </t>
        </is>
      </c>
      <c r="G18" s="12" t="inlineStr">
        <is>
          <t>Purchases – stores and consumables</t>
        </is>
      </c>
      <c r="H18" s="15" t="n">
        <v>348200</v>
      </c>
      <c r="I18" s="15" t="n">
        <v>31338</v>
      </c>
      <c r="J18" s="15" t="n">
        <v>31338</v>
      </c>
      <c r="M18" s="15" t="n">
        <v>410876</v>
      </c>
    </row>
    <row r="19">
      <c r="A19" s="14" t="n">
        <v>46408</v>
      </c>
      <c r="B19" s="12" t="inlineStr">
        <is>
          <t>Hebbal Tooling Solutions Private Limited</t>
        </is>
      </c>
      <c r="C19" s="12" t="n">
        <v>2454</v>
      </c>
      <c r="D19" s="12" t="inlineStr">
        <is>
          <t>HTS/26-27/0885</t>
        </is>
      </c>
      <c r="E19" s="14" t="n">
        <v>46405</v>
      </c>
      <c r="F19" s="12" t="inlineStr">
        <is>
          <t>29ZEMCH0865A1ZP</t>
        </is>
      </c>
      <c r="G19" s="12" t="inlineStr">
        <is>
          <t>Purchases – stores and consumables</t>
        </is>
      </c>
      <c r="H19" s="15" t="n">
        <v>297000</v>
      </c>
      <c r="K19" s="15" t="n">
        <v>53460</v>
      </c>
      <c r="M19" s="15" t="n">
        <v>350460</v>
      </c>
    </row>
    <row r="20">
      <c r="A20" s="14" t="n">
        <v>46409</v>
      </c>
      <c r="B20" s="12" t="inlineStr">
        <is>
          <t>Moshi Corrugators</t>
        </is>
      </c>
      <c r="C20" s="12" t="n">
        <v>2467</v>
      </c>
      <c r="D20" s="12" t="inlineStr">
        <is>
          <t>MC/26-27/229</t>
        </is>
      </c>
      <c r="E20" s="14" t="n">
        <v>46409</v>
      </c>
      <c r="F20" s="12" t="inlineStr">
        <is>
          <t>27YNLPL0717M1Z1</t>
        </is>
      </c>
      <c r="G20" s="12" t="inlineStr">
        <is>
          <t>Purchases – packing materials</t>
        </is>
      </c>
      <c r="H20" s="15" t="n">
        <v>72000</v>
      </c>
      <c r="I20" s="15" t="n">
        <v>1800</v>
      </c>
      <c r="J20" s="15" t="n">
        <v>1800</v>
      </c>
      <c r="M20" s="15" t="n">
        <v>75600</v>
      </c>
    </row>
    <row r="21">
      <c r="A21" s="14" t="n">
        <v>46414</v>
      </c>
      <c r="B21" s="12" t="inlineStr">
        <is>
          <t>Mundhwa Lubricants and Chemicals</t>
        </is>
      </c>
      <c r="C21" s="12" t="n">
        <v>2521</v>
      </c>
      <c r="D21" s="12" t="inlineStr">
        <is>
          <t>MLC/26-27/1269</t>
        </is>
      </c>
      <c r="E21" s="14" t="n">
        <v>46414</v>
      </c>
      <c r="F21" s="12" t="inlineStr">
        <is>
          <t>27WHQFM7542F1ZX</t>
        </is>
      </c>
      <c r="G21" s="12" t="inlineStr">
        <is>
          <t>Purchases – stores and consumables</t>
        </is>
      </c>
      <c r="H21" s="15" t="n">
        <v>308200</v>
      </c>
      <c r="I21" s="15" t="n">
        <v>27738</v>
      </c>
      <c r="J21" s="15" t="n">
        <v>27738</v>
      </c>
      <c r="M21" s="15" t="n">
        <v>363676</v>
      </c>
    </row>
    <row r="22">
      <c r="A22" s="14" t="n">
        <v>46415</v>
      </c>
      <c r="B22" s="12" t="inlineStr">
        <is>
          <t>Moshi Corrugators</t>
        </is>
      </c>
      <c r="C22" s="12" t="n">
        <v>2529</v>
      </c>
      <c r="D22" s="12" t="inlineStr">
        <is>
          <t>MC/26-27/235</t>
        </is>
      </c>
      <c r="E22" s="14" t="n">
        <v>46415</v>
      </c>
      <c r="F22" s="12" t="inlineStr">
        <is>
          <t>27YNLPL0717M1Z1</t>
        </is>
      </c>
      <c r="G22" s="12" t="inlineStr">
        <is>
          <t>Purchases – packing materials</t>
        </is>
      </c>
      <c r="H22" s="15" t="n">
        <v>85240</v>
      </c>
      <c r="I22" s="15" t="n">
        <v>2131</v>
      </c>
      <c r="J22" s="15" t="n">
        <v>2131</v>
      </c>
      <c r="M22" s="15" t="n">
        <v>89502</v>
      </c>
    </row>
    <row r="23">
      <c r="A23" s="14" t="n">
        <v>46415</v>
      </c>
      <c r="B23" s="12" t="inlineStr">
        <is>
          <t>Hebbal Tooling Solutions Private Limited</t>
        </is>
      </c>
      <c r="C23" s="12" t="n">
        <v>2532</v>
      </c>
      <c r="D23" s="12" t="inlineStr">
        <is>
          <t>HTS/26-27/0890</t>
        </is>
      </c>
      <c r="E23" s="14" t="n">
        <v>46412</v>
      </c>
      <c r="F23" s="12" t="inlineStr">
        <is>
          <t>29ZEMCH0865A1ZP</t>
        </is>
      </c>
      <c r="G23" s="12" t="inlineStr">
        <is>
          <t>Purchases – stores and consumables</t>
        </is>
      </c>
      <c r="H23" s="15" t="n">
        <v>346500</v>
      </c>
      <c r="K23" s="15" t="n">
        <v>62370</v>
      </c>
      <c r="M23" s="15" t="n">
        <v>408870</v>
      </c>
    </row>
    <row r="24">
      <c r="A24" s="14" t="n">
        <v>46416</v>
      </c>
      <c r="B24" s="12" t="inlineStr">
        <is>
          <t>Kolak Polypack Private Limited</t>
        </is>
      </c>
      <c r="C24" s="12" t="n">
        <v>2539</v>
      </c>
      <c r="D24" s="12" t="inlineStr">
        <is>
          <t>KP/26-27/1276</t>
        </is>
      </c>
      <c r="E24" s="14" t="n">
        <v>46414</v>
      </c>
      <c r="F24" s="12" t="inlineStr">
        <is>
          <t>24WGHCK4121C1Z7</t>
        </is>
      </c>
      <c r="G24" s="12" t="inlineStr">
        <is>
          <t>Purchases – packing materials</t>
        </is>
      </c>
      <c r="H24" s="15" t="n">
        <v>104000</v>
      </c>
      <c r="K24" s="15" t="n">
        <v>18720</v>
      </c>
      <c r="M24" s="15" t="n">
        <v>122720</v>
      </c>
    </row>
    <row r="25">
      <c r="A25" s="14" t="n">
        <v>46420</v>
      </c>
      <c r="B25" s="12" t="inlineStr">
        <is>
          <t>Moshi Corrugators</t>
        </is>
      </c>
      <c r="C25" s="12" t="n">
        <v>2587</v>
      </c>
      <c r="D25" s="12" t="inlineStr">
        <is>
          <t>MC/26-27/240</t>
        </is>
      </c>
      <c r="E25" s="14" t="n">
        <v>46420</v>
      </c>
      <c r="F25" s="12" t="inlineStr">
        <is>
          <t>27YNLPL0717M1Z1</t>
        </is>
      </c>
      <c r="G25" s="12" t="inlineStr">
        <is>
          <t>Purchases – packing materials</t>
        </is>
      </c>
      <c r="H25" s="15" t="n">
        <v>81600</v>
      </c>
      <c r="I25" s="15" t="n">
        <v>2040</v>
      </c>
      <c r="J25" s="15" t="n">
        <v>2040</v>
      </c>
      <c r="M25" s="15" t="n">
        <v>85680</v>
      </c>
    </row>
    <row r="26">
      <c r="A26" s="14" t="n">
        <v>46422</v>
      </c>
      <c r="B26" s="12" t="inlineStr">
        <is>
          <t>Hebbal Tooling Solutions Private Limited</t>
        </is>
      </c>
      <c r="C26" s="12" t="n">
        <v>2607</v>
      </c>
      <c r="D26" s="12" t="inlineStr">
        <is>
          <t>HTS/26-27/0896</t>
        </is>
      </c>
      <c r="E26" s="14" t="n">
        <v>46419</v>
      </c>
      <c r="F26" s="12" t="inlineStr">
        <is>
          <t>29ZEMCH0865A1ZP</t>
        </is>
      </c>
      <c r="G26" s="12" t="inlineStr">
        <is>
          <t>Purchases – stores and consumables</t>
        </is>
      </c>
      <c r="H26" s="15" t="n">
        <v>341000</v>
      </c>
      <c r="K26" s="15" t="n">
        <v>61380</v>
      </c>
      <c r="M26" s="15" t="n">
        <v>402380</v>
      </c>
    </row>
    <row r="27">
      <c r="B27" s="12" t="inlineStr">
        <is>
          <t>Carried Over</t>
        </is>
      </c>
      <c r="H27" s="15" t="n">
        <v>3882600</v>
      </c>
      <c r="I27" s="15" t="n">
        <v>115105</v>
      </c>
      <c r="J27" s="15" t="n">
        <v>115105</v>
      </c>
      <c r="K27" s="15" t="n">
        <v>361980</v>
      </c>
      <c r="M27" s="15" t="n">
        <v>4474790</v>
      </c>
    </row>
    <row r="28">
      <c r="B28" s="12" t="inlineStr">
        <is>
          <t>Purchase Register · Page 2</t>
        </is>
      </c>
    </row>
    <row r="29">
      <c r="A29" s="13" t="inlineStr">
        <is>
          <t>Date</t>
        </is>
      </c>
      <c r="B29" s="13" t="inlineStr">
        <is>
          <t>Particulars</t>
        </is>
      </c>
      <c r="C29" s="13" t="inlineStr">
        <is>
          <t>Vch No.</t>
        </is>
      </c>
      <c r="D29" s="13" t="inlineStr">
        <is>
          <t>Supplier Inv No.</t>
        </is>
      </c>
      <c r="E29" s="13" t="inlineStr">
        <is>
          <t>Supplier Inv Date</t>
        </is>
      </c>
      <c r="F29" s="13" t="inlineStr">
        <is>
          <t>GSTIN/UIN</t>
        </is>
      </c>
      <c r="G29" s="13" t="inlineStr">
        <is>
          <t>Purchase Ledger</t>
        </is>
      </c>
      <c r="H29" s="13" t="inlineStr">
        <is>
          <t>Taxable Value</t>
        </is>
      </c>
      <c r="I29" s="13" t="inlineStr">
        <is>
          <t>CGST</t>
        </is>
      </c>
      <c r="J29" s="13" t="inlineStr">
        <is>
          <t>SGST</t>
        </is>
      </c>
      <c r="K29" s="13" t="inlineStr">
        <is>
          <t>IGST</t>
        </is>
      </c>
      <c r="L29" s="13" t="inlineStr">
        <is>
          <t>Round Off</t>
        </is>
      </c>
      <c r="M29" s="13" t="inlineStr">
        <is>
          <t>Gross Total</t>
        </is>
      </c>
    </row>
    <row r="30">
      <c r="B30" s="12" t="inlineStr">
        <is>
          <t>Brought Forward</t>
        </is>
      </c>
      <c r="H30" s="15" t="n">
        <v>3882600</v>
      </c>
      <c r="I30" s="15" t="n">
        <v>115105</v>
      </c>
      <c r="J30" s="15" t="n">
        <v>115105</v>
      </c>
      <c r="K30" s="15" t="n">
        <v>361980</v>
      </c>
      <c r="M30" s="15" t="n">
        <v>4474790</v>
      </c>
    </row>
    <row r="31">
      <c r="A31" s="14" t="n">
        <v>46422</v>
      </c>
      <c r="B31" s="12" t="inlineStr">
        <is>
          <t>Hebbal Tooling Solutions Private Limited</t>
        </is>
      </c>
      <c r="C31" s="12" t="n">
        <v>2607</v>
      </c>
      <c r="D31" s="12" t="inlineStr">
        <is>
          <t>HTS/26-27/0896</t>
        </is>
      </c>
      <c r="E31" s="14" t="n">
        <v>46419</v>
      </c>
      <c r="F31" s="12" t="inlineStr">
        <is>
          <t>29ZEMCH0865A1ZP</t>
        </is>
      </c>
      <c r="G31" s="12" t="inlineStr">
        <is>
          <t>Purchases – stores and consumables</t>
        </is>
      </c>
      <c r="H31" s="15" t="n">
        <v>341000</v>
      </c>
      <c r="K31" s="15" t="n">
        <v>61380</v>
      </c>
      <c r="M31" s="15" t="n">
        <v>402380</v>
      </c>
    </row>
    <row r="32">
      <c r="A32" s="14" t="n">
        <v>46423</v>
      </c>
      <c r="B32" s="12" t="inlineStr">
        <is>
          <t>Kolak Polypack Private Limited</t>
        </is>
      </c>
      <c r="C32" s="12" t="n">
        <v>2615</v>
      </c>
      <c r="D32" s="12" t="inlineStr">
        <is>
          <t>KP/26-27/1288</t>
        </is>
      </c>
      <c r="E32" s="14" t="n">
        <v>46421</v>
      </c>
      <c r="F32" s="12" t="inlineStr">
        <is>
          <t>24WGHCK4121C1Z7</t>
        </is>
      </c>
      <c r="G32" s="12" t="inlineStr">
        <is>
          <t>Purchases – packing materials</t>
        </is>
      </c>
      <c r="H32" s="15" t="n">
        <v>132000</v>
      </c>
      <c r="K32" s="15" t="n">
        <v>23760</v>
      </c>
      <c r="M32" s="15" t="n">
        <v>155760</v>
      </c>
    </row>
    <row r="33">
      <c r="A33" s="14" t="n">
        <v>46424</v>
      </c>
      <c r="B33" s="12" t="inlineStr">
        <is>
          <t>Moshi Corrugators</t>
        </is>
      </c>
      <c r="C33" s="12" t="n">
        <v>2628</v>
      </c>
      <c r="D33" s="12" t="inlineStr">
        <is>
          <t>MC/26-27/243</t>
        </is>
      </c>
      <c r="E33" s="14" t="n">
        <v>46424</v>
      </c>
      <c r="F33" s="12" t="inlineStr">
        <is>
          <t>27YNLPL0717M1Z1</t>
        </is>
      </c>
      <c r="G33" s="12" t="inlineStr">
        <is>
          <t>Purchases – packing materials</t>
        </is>
      </c>
      <c r="H33" s="15" t="n">
        <v>90240</v>
      </c>
      <c r="I33" s="15" t="n">
        <v>2256</v>
      </c>
      <c r="J33" s="15" t="n">
        <v>2256</v>
      </c>
      <c r="M33" s="15" t="n">
        <v>94752</v>
      </c>
    </row>
    <row r="34">
      <c r="A34" s="14" t="n">
        <v>46427</v>
      </c>
      <c r="B34" s="12" t="inlineStr">
        <is>
          <t>Mundhwa Lubricants and Chemicals</t>
        </is>
      </c>
      <c r="C34" s="12" t="n">
        <v>2662</v>
      </c>
      <c r="D34" s="12" t="inlineStr">
        <is>
          <t>MLC/26-27/1311</t>
        </is>
      </c>
      <c r="E34" s="14" t="n">
        <v>46427</v>
      </c>
      <c r="F34" s="12" t="inlineStr">
        <is>
          <t>27WHQFM7542F1ZX</t>
        </is>
      </c>
      <c r="G34" s="12" t="inlineStr">
        <is>
          <t>Purchases – stores and consumables</t>
        </is>
      </c>
      <c r="H34" s="15" t="n">
        <v>460200</v>
      </c>
      <c r="I34" s="15" t="n">
        <v>41418</v>
      </c>
      <c r="J34" s="15" t="n">
        <v>41418</v>
      </c>
      <c r="M34" s="15" t="n">
        <v>543036</v>
      </c>
    </row>
    <row r="35">
      <c r="A35" s="14" t="n">
        <v>46428</v>
      </c>
      <c r="B35" s="12" t="inlineStr">
        <is>
          <t>Alandi Paper Products</t>
        </is>
      </c>
      <c r="C35" s="12" t="n">
        <v>2670</v>
      </c>
      <c r="D35" s="12" t="inlineStr">
        <is>
          <t>APP/26-27/0158</t>
        </is>
      </c>
      <c r="E35" s="14" t="n">
        <v>46428</v>
      </c>
      <c r="F35" s="12" t="inlineStr">
        <is>
          <t>27ZDLPK9230K1ZG</t>
        </is>
      </c>
      <c r="G35" s="12" t="inlineStr">
        <is>
          <t>Purchases – packing materials</t>
        </is>
      </c>
      <c r="H35" s="15" t="n">
        <v>250000</v>
      </c>
      <c r="I35" s="15" t="n">
        <v>6250</v>
      </c>
      <c r="J35" s="15" t="n">
        <v>6250</v>
      </c>
      <c r="M35" s="15" t="n">
        <v>262500</v>
      </c>
    </row>
    <row r="36">
      <c r="A36" s="14" t="n">
        <v>46429</v>
      </c>
      <c r="B36" s="12" t="inlineStr">
        <is>
          <t>Moshi Corrugators</t>
        </is>
      </c>
      <c r="C36" s="12" t="n">
        <v>2683</v>
      </c>
      <c r="D36" s="12" t="inlineStr">
        <is>
          <t>MC/26-27/247</t>
        </is>
      </c>
      <c r="E36" s="14" t="n">
        <v>46429</v>
      </c>
      <c r="F36" s="12" t="inlineStr">
        <is>
          <t>27YNLPL0717M1Z1</t>
        </is>
      </c>
      <c r="G36" s="12" t="inlineStr">
        <is>
          <t>Purchases – packing materials</t>
        </is>
      </c>
      <c r="H36" s="15" t="n">
        <v>78720</v>
      </c>
      <c r="I36" s="15" t="n">
        <v>1968</v>
      </c>
      <c r="J36" s="15" t="n">
        <v>1968</v>
      </c>
      <c r="M36" s="15" t="n">
        <v>82656</v>
      </c>
    </row>
    <row r="37">
      <c r="A37" s="14" t="n">
        <v>46429</v>
      </c>
      <c r="B37" s="12" t="inlineStr">
        <is>
          <t>Hebbal Tooling Solutions Private Limited</t>
        </is>
      </c>
      <c r="C37" s="12" t="n">
        <v>2686</v>
      </c>
      <c r="D37" s="12" t="inlineStr">
        <is>
          <t>HTS/26-27/0902</t>
        </is>
      </c>
      <c r="E37" s="14" t="n">
        <v>46426</v>
      </c>
      <c r="F37" s="12" t="inlineStr">
        <is>
          <t>29ZEMCH0865A1ZP</t>
        </is>
      </c>
      <c r="G37" s="12" t="inlineStr">
        <is>
          <t>Purchases – stores and consumables</t>
        </is>
      </c>
      <c r="H37" s="15" t="n">
        <v>318500</v>
      </c>
      <c r="K37" s="15" t="n">
        <v>57330</v>
      </c>
      <c r="M37" s="15" t="n">
        <v>375830</v>
      </c>
    </row>
    <row r="38">
      <c r="A38" s="14" t="n">
        <v>46434</v>
      </c>
      <c r="B38" s="12" t="inlineStr">
        <is>
          <t>Moshi Corrugators</t>
        </is>
      </c>
      <c r="C38" s="12" t="n">
        <v>2737</v>
      </c>
      <c r="D38" s="12" t="inlineStr">
        <is>
          <t>MC/26-27/251</t>
        </is>
      </c>
      <c r="E38" s="14" t="n">
        <v>46434</v>
      </c>
      <c r="F38" s="12" t="inlineStr">
        <is>
          <t>27YNLPL0717M1Z1</t>
        </is>
      </c>
      <c r="G38" s="12" t="inlineStr">
        <is>
          <t>Purchases – packing materials</t>
        </is>
      </c>
      <c r="H38" s="15" t="n">
        <v>88320</v>
      </c>
      <c r="I38" s="15" t="n">
        <v>2208</v>
      </c>
      <c r="J38" s="15" t="n">
        <v>2208</v>
      </c>
      <c r="M38" s="15" t="n">
        <v>92736</v>
      </c>
    </row>
    <row r="39">
      <c r="A39" s="14" t="n">
        <v>46436</v>
      </c>
      <c r="B39" s="12" t="inlineStr">
        <is>
          <t>Kolak Polypack Private Limited</t>
        </is>
      </c>
      <c r="C39" s="12" t="n">
        <v>2758</v>
      </c>
      <c r="D39" s="12" t="inlineStr">
        <is>
          <t>KP/26-27/1301</t>
        </is>
      </c>
      <c r="E39" s="14" t="n">
        <v>46433</v>
      </c>
      <c r="F39" s="12" t="inlineStr">
        <is>
          <t>24WGHCK4121C1Z7</t>
        </is>
      </c>
      <c r="G39" s="12" t="inlineStr">
        <is>
          <t>Purchases – packing materials</t>
        </is>
      </c>
      <c r="H39" s="12" t="inlineStr">
        <is>
          <t>138500.00</t>
        </is>
      </c>
      <c r="K39" s="12" t="inlineStr">
        <is>
          <t>24930.00</t>
        </is>
      </c>
      <c r="M39" s="12" t="inlineStr">
        <is>
          <t>163430.00</t>
        </is>
      </c>
    </row>
    <row r="40">
      <c r="A40" s="14" t="n">
        <v>46436</v>
      </c>
      <c r="B40" s="12" t="inlineStr">
        <is>
          <t>Mundhwa Lubricants and Chemicals</t>
        </is>
      </c>
      <c r="C40" s="12" t="n">
        <v>2761</v>
      </c>
      <c r="D40" s="12" t="inlineStr">
        <is>
          <t>MLC/26-27/1347</t>
        </is>
      </c>
      <c r="E40" s="14" t="n">
        <v>46436</v>
      </c>
      <c r="F40" s="12" t="inlineStr">
        <is>
          <t>27WHQFM7542F1ZX</t>
        </is>
      </c>
      <c r="G40" s="12" t="inlineStr">
        <is>
          <t>Purchases – stores and consumables</t>
        </is>
      </c>
      <c r="H40" s="15" t="n">
        <v>378000</v>
      </c>
      <c r="I40" s="15" t="n">
        <v>34020</v>
      </c>
      <c r="J40" s="15" t="n">
        <v>34020</v>
      </c>
      <c r="M40" s="15" t="n">
        <v>446040</v>
      </c>
    </row>
    <row r="41">
      <c r="A41" s="14" t="n">
        <v>46436</v>
      </c>
      <c r="B41" s="12" t="inlineStr">
        <is>
          <t>(cancelled)</t>
        </is>
      </c>
      <c r="C41" s="12" t="n">
        <v>2762</v>
      </c>
    </row>
    <row r="42">
      <c r="A42" s="14" t="n">
        <v>46436</v>
      </c>
      <c r="B42" s="12" t="inlineStr">
        <is>
          <t>Hebbal Tooling Solutions Private Limited</t>
        </is>
      </c>
      <c r="C42" s="12" t="n">
        <v>2764</v>
      </c>
      <c r="D42" s="12" t="inlineStr">
        <is>
          <t>HTS/26-27/0907</t>
        </is>
      </c>
      <c r="E42" s="14" t="n">
        <v>46433</v>
      </c>
      <c r="F42" s="12" t="inlineStr">
        <is>
          <t>29ZEMCH0865A1ZP</t>
        </is>
      </c>
      <c r="G42" s="12" t="inlineStr">
        <is>
          <t>Purchases – stores and consumables</t>
        </is>
      </c>
      <c r="H42" s="15" t="n">
        <v>332000</v>
      </c>
      <c r="K42" s="15" t="n">
        <v>59760</v>
      </c>
      <c r="M42" s="15" t="n">
        <v>391760</v>
      </c>
    </row>
    <row r="43">
      <c r="A43" s="14" t="n">
        <v>46440</v>
      </c>
      <c r="B43" s="12" t="inlineStr">
        <is>
          <t>Moshi Corrugators</t>
        </is>
      </c>
      <c r="C43" s="12" t="n">
        <v>2804</v>
      </c>
      <c r="D43" s="12" t="inlineStr">
        <is>
          <t>MC/26-27/256</t>
        </is>
      </c>
      <c r="E43" s="14" t="n">
        <v>46440</v>
      </c>
      <c r="F43" s="12" t="inlineStr">
        <is>
          <t>27YNLPL0717M1Z1</t>
        </is>
      </c>
      <c r="G43" s="12" t="inlineStr">
        <is>
          <t>Purchases – packing materials</t>
        </is>
      </c>
      <c r="H43" s="15" t="n">
        <v>83520</v>
      </c>
      <c r="I43" s="15" t="n">
        <v>2088</v>
      </c>
      <c r="J43" s="15" t="n">
        <v>2088</v>
      </c>
      <c r="M43" s="15" t="n">
        <v>87696</v>
      </c>
    </row>
    <row r="44">
      <c r="A44" s="14" t="n">
        <v>46441</v>
      </c>
      <c r="B44" s="12" t="inlineStr">
        <is>
          <t>Hebbal Tooling Solutions Private Limited</t>
        </is>
      </c>
      <c r="C44" s="12" t="n">
        <v>2812</v>
      </c>
      <c r="D44" s="12" t="inlineStr">
        <is>
          <t>HTS/26-27/0912</t>
        </is>
      </c>
      <c r="E44" s="14" t="n">
        <v>46438</v>
      </c>
      <c r="F44" s="12" t="inlineStr">
        <is>
          <t>29ZEMCH0865A1ZP</t>
        </is>
      </c>
      <c r="G44" s="12" t="inlineStr">
        <is>
          <t>Purchases – stores and consumables</t>
        </is>
      </c>
      <c r="H44" s="15" t="n">
        <v>323500</v>
      </c>
      <c r="K44" s="15" t="n">
        <v>58230</v>
      </c>
      <c r="M44" s="15" t="n">
        <v>381730</v>
      </c>
    </row>
    <row r="45">
      <c r="A45" s="14" t="n">
        <v>46443</v>
      </c>
      <c r="B45" s="12" t="inlineStr">
        <is>
          <t>Mundhwa Lubricants and Chemicals</t>
        </is>
      </c>
      <c r="C45" s="12" t="n">
        <v>2833</v>
      </c>
      <c r="D45" s="12" t="inlineStr">
        <is>
          <t>MLC/26-27/1372</t>
        </is>
      </c>
      <c r="E45" s="14" t="n">
        <v>46443</v>
      </c>
      <c r="F45" s="12" t="inlineStr">
        <is>
          <t>27WHQFM7542F1ZX</t>
        </is>
      </c>
      <c r="G45" s="12" t="inlineStr">
        <is>
          <t>Purchases – stores and consumables</t>
        </is>
      </c>
      <c r="H45" s="15" t="n">
        <v>237800</v>
      </c>
      <c r="I45" s="15" t="n">
        <v>21402</v>
      </c>
      <c r="J45" s="15" t="n">
        <v>21402</v>
      </c>
      <c r="M45" s="15" t="n">
        <v>280604</v>
      </c>
    </row>
    <row r="46">
      <c r="A46" s="14" t="n">
        <v>46444</v>
      </c>
      <c r="B46" s="12" t="inlineStr">
        <is>
          <t>Moshi Corrugators</t>
        </is>
      </c>
      <c r="C46" s="12" t="n">
        <v>2846</v>
      </c>
      <c r="D46" s="12" t="inlineStr">
        <is>
          <t>MC/26-27/260</t>
        </is>
      </c>
      <c r="E46" s="14" t="n">
        <v>46444</v>
      </c>
      <c r="F46" s="12" t="inlineStr">
        <is>
          <t>27YNLPL0717M1Z1</t>
        </is>
      </c>
      <c r="G46" s="12" t="inlineStr">
        <is>
          <t>Purchases – packing materials</t>
        </is>
      </c>
      <c r="H46" s="15" t="n">
        <v>84600</v>
      </c>
      <c r="I46" s="15" t="n">
        <v>2115</v>
      </c>
      <c r="J46" s="15" t="n">
        <v>2115</v>
      </c>
      <c r="M46" s="15" t="n">
        <v>88830</v>
      </c>
    </row>
    <row r="47">
      <c r="A47" s="14" t="n">
        <v>46444</v>
      </c>
      <c r="B47" s="12" t="inlineStr">
        <is>
          <t>Kolak Polypack Private Limited</t>
        </is>
      </c>
      <c r="C47" s="12" t="n">
        <v>2849</v>
      </c>
      <c r="D47" s="12" t="inlineStr">
        <is>
          <t>KP/26-27/1317</t>
        </is>
      </c>
      <c r="E47" s="14" t="n">
        <v>46442</v>
      </c>
      <c r="F47" s="12" t="inlineStr">
        <is>
          <t>24WGHCK4121C1Z7</t>
        </is>
      </c>
      <c r="G47" s="12" t="inlineStr">
        <is>
          <t>Purchases – packing materials</t>
        </is>
      </c>
      <c r="H47" s="15" t="n">
        <v>125500</v>
      </c>
      <c r="K47" s="15" t="n">
        <v>22590</v>
      </c>
      <c r="M47" s="15" t="n">
        <v>148090</v>
      </c>
    </row>
    <row r="48">
      <c r="A48" s="14" t="n">
        <v>46448</v>
      </c>
      <c r="B48" s="12" t="inlineStr">
        <is>
          <t>Moshi Corrugators</t>
        </is>
      </c>
      <c r="C48" s="12" t="n">
        <v>2892</v>
      </c>
      <c r="D48" s="12" t="inlineStr">
        <is>
          <t>MC/26-27/264</t>
        </is>
      </c>
      <c r="E48" s="14" t="n">
        <v>46448</v>
      </c>
      <c r="F48" s="12" t="inlineStr">
        <is>
          <t>27YNLPL0717M1Z1</t>
        </is>
      </c>
      <c r="G48" s="12" t="inlineStr">
        <is>
          <t>Purchases – packing materials</t>
        </is>
      </c>
      <c r="H48" s="15" t="n">
        <v>88800</v>
      </c>
      <c r="I48" s="15" t="n">
        <v>2220</v>
      </c>
      <c r="J48" s="15" t="n">
        <v>2220</v>
      </c>
      <c r="M48" s="15" t="n">
        <v>93240</v>
      </c>
    </row>
    <row r="49">
      <c r="A49" s="14" t="n">
        <v>46450</v>
      </c>
      <c r="B49" s="12" t="inlineStr">
        <is>
          <t>Hebbal Tooling Solutions Private Limited</t>
        </is>
      </c>
      <c r="C49" s="12" t="n">
        <v>2912</v>
      </c>
      <c r="D49" s="12" t="inlineStr">
        <is>
          <t>HTS/26-27/0917</t>
        </is>
      </c>
      <c r="E49" s="14" t="n">
        <v>46444</v>
      </c>
      <c r="F49" s="12" t="inlineStr">
        <is>
          <t>29ZEMCH0865A1ZP</t>
        </is>
      </c>
      <c r="G49" s="12" t="inlineStr">
        <is>
          <t>Purchases – stores and consumables</t>
        </is>
      </c>
      <c r="H49" s="15" t="n">
        <v>320000</v>
      </c>
      <c r="K49" s="15" t="n">
        <v>57600</v>
      </c>
      <c r="M49" s="15" t="n">
        <v>377600</v>
      </c>
    </row>
    <row r="50">
      <c r="B50" s="12" t="inlineStr">
        <is>
          <t>(Recd 4-3-2027 vide GRN-2027-03-0052, LR 22184)</t>
        </is>
      </c>
    </row>
    <row r="51">
      <c r="A51" s="14" t="n">
        <v>46451</v>
      </c>
      <c r="B51" s="12" t="inlineStr">
        <is>
          <t>Moshi Corrugators</t>
        </is>
      </c>
      <c r="C51" s="12" t="n">
        <v>2920</v>
      </c>
      <c r="D51" s="12" t="inlineStr">
        <is>
          <t>MC/26-27/266</t>
        </is>
      </c>
      <c r="E51" s="14" t="n">
        <v>46451</v>
      </c>
      <c r="F51" s="12" t="inlineStr">
        <is>
          <t>27YNLPL0717M1Z1</t>
        </is>
      </c>
      <c r="G51" s="12" t="inlineStr">
        <is>
          <t>Purchases – packing materials</t>
        </is>
      </c>
      <c r="H51" s="15" t="n">
        <v>93600</v>
      </c>
      <c r="I51" s="15" t="n">
        <v>2340</v>
      </c>
      <c r="J51" s="15" t="n">
        <v>2340</v>
      </c>
      <c r="M51" s="15" t="n">
        <v>98280</v>
      </c>
    </row>
    <row r="52">
      <c r="A52" s="14" t="n">
        <v>46454</v>
      </c>
      <c r="B52" s="12" t="inlineStr">
        <is>
          <t>Mundhwa Lubricants and Chemicals</t>
        </is>
      </c>
      <c r="C52" s="12" t="n">
        <v>2954</v>
      </c>
      <c r="D52" s="12" t="inlineStr">
        <is>
          <t>MLC/26-27/1391</t>
        </is>
      </c>
      <c r="E52" s="14" t="n">
        <v>46454</v>
      </c>
      <c r="F52" s="12" t="inlineStr">
        <is>
          <t>27WHQFM7542F1ZX</t>
        </is>
      </c>
      <c r="G52" s="12" t="inlineStr">
        <is>
          <t>Purchases – stores and consumables</t>
        </is>
      </c>
      <c r="H52" s="15" t="n">
        <v>426300</v>
      </c>
      <c r="I52" s="15" t="n">
        <v>38367</v>
      </c>
      <c r="J52" s="15" t="n">
        <v>38367</v>
      </c>
      <c r="M52" s="15" t="n">
        <v>503034</v>
      </c>
    </row>
    <row r="53">
      <c r="B53" s="12" t="inlineStr">
        <is>
          <t>Carried Over</t>
        </is>
      </c>
      <c r="H53" s="15" t="n">
        <v>7932700</v>
      </c>
      <c r="I53" s="15" t="n">
        <v>271757</v>
      </c>
      <c r="J53" s="15" t="n">
        <v>271757</v>
      </c>
      <c r="K53" s="15" t="n">
        <v>666180</v>
      </c>
      <c r="M53" s="15" t="n">
        <v>9142394</v>
      </c>
    </row>
    <row r="54">
      <c r="B54" s="12" t="inlineStr">
        <is>
          <t>Purchase Register · Page 3</t>
        </is>
      </c>
    </row>
    <row r="55">
      <c r="A55" s="13" t="inlineStr">
        <is>
          <t>Date</t>
        </is>
      </c>
      <c r="B55" s="13" t="inlineStr">
        <is>
          <t>Particulars</t>
        </is>
      </c>
      <c r="C55" s="13" t="inlineStr">
        <is>
          <t>Vch No.</t>
        </is>
      </c>
      <c r="D55" s="13" t="inlineStr">
        <is>
          <t>Supplier Inv No.</t>
        </is>
      </c>
      <c r="E55" s="13" t="inlineStr">
        <is>
          <t>Supplier Inv Date</t>
        </is>
      </c>
      <c r="F55" s="13" t="inlineStr">
        <is>
          <t>GSTIN/UIN</t>
        </is>
      </c>
      <c r="G55" s="13" t="inlineStr">
        <is>
          <t>Purchase Ledger</t>
        </is>
      </c>
      <c r="H55" s="13" t="inlineStr">
        <is>
          <t>Taxable Value</t>
        </is>
      </c>
      <c r="I55" s="13" t="inlineStr">
        <is>
          <t>CGST</t>
        </is>
      </c>
      <c r="J55" s="13" t="inlineStr">
        <is>
          <t>SGST</t>
        </is>
      </c>
      <c r="K55" s="13" t="inlineStr">
        <is>
          <t>IGST</t>
        </is>
      </c>
      <c r="L55" s="13" t="inlineStr">
        <is>
          <t>Round Off</t>
        </is>
      </c>
      <c r="M55" s="13" t="inlineStr">
        <is>
          <t>Gross Total</t>
        </is>
      </c>
    </row>
    <row r="56">
      <c r="B56" s="12" t="inlineStr">
        <is>
          <t>Brought Forward</t>
        </is>
      </c>
      <c r="H56" s="15" t="n">
        <v>7932700</v>
      </c>
      <c r="I56" s="15" t="n">
        <v>271757</v>
      </c>
      <c r="J56" s="15" t="n">
        <v>271757</v>
      </c>
      <c r="K56" s="15" t="n">
        <v>666180</v>
      </c>
      <c r="M56" s="15" t="n">
        <v>9142394</v>
      </c>
    </row>
    <row r="57">
      <c r="A57" s="14" t="n">
        <v>46455</v>
      </c>
      <c r="B57" s="12" t="inlineStr">
        <is>
          <t>Moshi Corrugators</t>
        </is>
      </c>
      <c r="C57" s="12" t="n">
        <v>2967</v>
      </c>
      <c r="D57" s="12" t="inlineStr">
        <is>
          <t>MC/26-27/270</t>
        </is>
      </c>
      <c r="E57" s="14" t="n">
        <v>46455</v>
      </c>
      <c r="F57" s="12" t="inlineStr">
        <is>
          <t>27YNLPL0717M1Z1</t>
        </is>
      </c>
      <c r="G57" s="12" t="inlineStr">
        <is>
          <t>Purchases – packing materials</t>
        </is>
      </c>
      <c r="H57" s="15" t="n">
        <v>86880</v>
      </c>
      <c r="I57" s="15" t="n">
        <v>2172</v>
      </c>
      <c r="J57" s="15" t="n">
        <v>2172</v>
      </c>
      <c r="M57" s="15" t="n">
        <v>91224</v>
      </c>
    </row>
    <row r="58">
      <c r="A58" s="14" t="n">
        <v>46455</v>
      </c>
      <c r="B58" s="12" t="inlineStr">
        <is>
          <t>Kolak Polypack Private Limited</t>
        </is>
      </c>
      <c r="C58" s="12" t="n">
        <v>2970</v>
      </c>
      <c r="D58" s="12" t="inlineStr">
        <is>
          <t>KP/26-27/1326</t>
        </is>
      </c>
      <c r="E58" s="14" t="n">
        <v>46452</v>
      </c>
      <c r="F58" s="12" t="inlineStr">
        <is>
          <t>24WGHCK4121C1Z7</t>
        </is>
      </c>
      <c r="G58" s="12" t="inlineStr">
        <is>
          <t>Purchases – packing materials</t>
        </is>
      </c>
      <c r="H58" s="15" t="n">
        <v>178600</v>
      </c>
      <c r="K58" s="15" t="n">
        <v>32148</v>
      </c>
      <c r="M58" s="15" t="n">
        <v>210748</v>
      </c>
    </row>
    <row r="59">
      <c r="B59" s="12" t="inlineStr">
        <is>
          <t>(Being VCI bags and film, GRN-2027-03-0131)</t>
        </is>
      </c>
    </row>
    <row r="60">
      <c r="A60" s="14" t="n">
        <v>46458</v>
      </c>
      <c r="B60" s="12" t="inlineStr">
        <is>
          <t>Moshi Corrugators</t>
        </is>
      </c>
      <c r="C60" s="12" t="n">
        <v>3001</v>
      </c>
      <c r="D60" s="12" t="inlineStr">
        <is>
          <t>MC/26-27/273</t>
        </is>
      </c>
      <c r="E60" s="14" t="n">
        <v>46458</v>
      </c>
      <c r="F60" s="12" t="inlineStr">
        <is>
          <t>27YNLPL0717M1Z1</t>
        </is>
      </c>
      <c r="G60" s="12" t="inlineStr">
        <is>
          <t>Purchases – packing materials</t>
        </is>
      </c>
      <c r="H60" s="15" t="n">
        <v>91200</v>
      </c>
      <c r="I60" s="15" t="n">
        <v>2280</v>
      </c>
      <c r="J60" s="15" t="n">
        <v>2280</v>
      </c>
      <c r="M60" s="15" t="n">
        <v>95760</v>
      </c>
    </row>
    <row r="61">
      <c r="A61" s="14" t="n">
        <v>46459</v>
      </c>
      <c r="B61" s="12" t="inlineStr">
        <is>
          <t>Hebbal Tooling Solutions Private Limited</t>
        </is>
      </c>
      <c r="C61" s="12" t="n">
        <v>3008</v>
      </c>
      <c r="D61" s="12" t="inlineStr">
        <is>
          <t>HTS/26-27/0979</t>
        </is>
      </c>
      <c r="E61" s="14" t="n">
        <v>46456</v>
      </c>
      <c r="F61" s="12" t="inlineStr">
        <is>
          <t>29ZEMCH0865A1ZP</t>
        </is>
      </c>
      <c r="G61" s="12" t="inlineStr">
        <is>
          <t>Purchases – stores and consumables</t>
        </is>
      </c>
      <c r="H61" s="15" t="n">
        <v>258400</v>
      </c>
      <c r="K61" s="15" t="n">
        <v>46512</v>
      </c>
      <c r="M61" s="15" t="n">
        <v>304912</v>
      </c>
    </row>
    <row r="62">
      <c r="A62" s="14" t="n">
        <v>46463</v>
      </c>
      <c r="B62" s="12" t="inlineStr">
        <is>
          <t>Moshi Corrugators</t>
        </is>
      </c>
      <c r="C62" s="12" t="n">
        <v>3055</v>
      </c>
      <c r="D62" s="12" t="inlineStr">
        <is>
          <t>MC/26-27/277</t>
        </is>
      </c>
      <c r="E62" s="14" t="n">
        <v>46463</v>
      </c>
      <c r="F62" s="12" t="inlineStr">
        <is>
          <t>27YNLPL0717M1Z1</t>
        </is>
      </c>
      <c r="G62" s="12" t="inlineStr">
        <is>
          <t>Purchases – packing materials</t>
        </is>
      </c>
      <c r="H62" s="15" t="n">
        <v>94080</v>
      </c>
      <c r="I62" s="15" t="n">
        <v>2352</v>
      </c>
      <c r="J62" s="15" t="n">
        <v>2352</v>
      </c>
      <c r="M62" s="15" t="n">
        <v>98784</v>
      </c>
    </row>
    <row r="63">
      <c r="A63" s="14" t="n">
        <v>46465</v>
      </c>
      <c r="B63" s="12" t="inlineStr">
        <is>
          <t>Mundhwa Lubricants and Chemicals</t>
        </is>
      </c>
      <c r="C63" s="12" t="n">
        <v>3076</v>
      </c>
      <c r="D63" s="12" t="inlineStr">
        <is>
          <t>MLC/26-27/1404</t>
        </is>
      </c>
      <c r="E63" s="14" t="n">
        <v>46465</v>
      </c>
      <c r="F63" s="12" t="inlineStr">
        <is>
          <t>27WHQFM7542F1ZX</t>
        </is>
      </c>
      <c r="G63" s="12" t="inlineStr">
        <is>
          <t>Purchases – stores and consumables</t>
        </is>
      </c>
      <c r="H63" s="15" t="n">
        <v>391840</v>
      </c>
      <c r="I63" s="15" t="n">
        <v>35265.6</v>
      </c>
      <c r="J63" s="15" t="n">
        <v>35265.6</v>
      </c>
      <c r="M63" s="15" t="n">
        <v>462371.2</v>
      </c>
    </row>
    <row r="64">
      <c r="A64" s="14" t="n">
        <v>46468</v>
      </c>
      <c r="B64" s="12" t="inlineStr">
        <is>
          <t>Moshi Corrugators</t>
        </is>
      </c>
      <c r="C64" s="12" t="n">
        <v>3110</v>
      </c>
      <c r="D64" s="12" t="inlineStr">
        <is>
          <t>MC/26-27/281</t>
        </is>
      </c>
      <c r="E64" s="14" t="n">
        <v>46468</v>
      </c>
      <c r="F64" s="12" t="inlineStr">
        <is>
          <t>27YNLPL0717M1Z1</t>
        </is>
      </c>
      <c r="G64" s="12" t="inlineStr">
        <is>
          <t>Purchases – packing materials</t>
        </is>
      </c>
      <c r="H64" s="15" t="n">
        <v>89760</v>
      </c>
      <c r="I64" s="15" t="n">
        <v>2244</v>
      </c>
      <c r="J64" s="15" t="n">
        <v>2244</v>
      </c>
      <c r="M64" s="15" t="n">
        <v>94248</v>
      </c>
    </row>
    <row r="65">
      <c r="A65" s="14" t="n">
        <v>46473</v>
      </c>
      <c r="B65" s="12" t="inlineStr">
        <is>
          <t>Moshi Corrugators</t>
        </is>
      </c>
      <c r="C65" s="12" t="n">
        <v>3160</v>
      </c>
      <c r="D65" s="12" t="inlineStr">
        <is>
          <t>MC/26-27/286</t>
        </is>
      </c>
      <c r="E65" s="14" t="n">
        <v>46473</v>
      </c>
      <c r="F65" s="12" t="inlineStr">
        <is>
          <t>27YNLPL0717M1Z1</t>
        </is>
      </c>
      <c r="G65" s="12" t="inlineStr">
        <is>
          <t>Purchases – packing materials</t>
        </is>
      </c>
      <c r="H65" s="15" t="n">
        <v>115200</v>
      </c>
      <c r="I65" s="15" t="n">
        <v>6912</v>
      </c>
      <c r="J65" s="15" t="n">
        <v>6912</v>
      </c>
      <c r="M65" s="15" t="n">
        <v>129024</v>
      </c>
    </row>
    <row r="66">
      <c r="A66" s="14" t="n">
        <v>46475</v>
      </c>
      <c r="B66" s="12" t="inlineStr">
        <is>
          <t>Hebbal Tooling Solutions Private Limited</t>
        </is>
      </c>
      <c r="C66" s="12" t="n">
        <v>3171</v>
      </c>
      <c r="D66" s="12" t="inlineStr">
        <is>
          <t>HTS/26-27/1042</t>
        </is>
      </c>
      <c r="E66" s="14" t="n">
        <v>46470</v>
      </c>
      <c r="F66" s="12" t="inlineStr">
        <is>
          <t>29ZEMCH0865A1ZP</t>
        </is>
      </c>
      <c r="G66" s="12" t="inlineStr">
        <is>
          <t>Purchases – stores and consumables</t>
        </is>
      </c>
      <c r="H66" s="15" t="n">
        <v>721600</v>
      </c>
      <c r="K66" s="15" t="n">
        <v>129888</v>
      </c>
      <c r="M66" s="15" t="n">
        <v>851488</v>
      </c>
    </row>
    <row r="67">
      <c r="A67" s="14" t="n">
        <v>46475</v>
      </c>
      <c r="B67" s="12" t="inlineStr">
        <is>
          <t>Kolak Polypack Private Limited</t>
        </is>
      </c>
      <c r="C67" s="12" t="n">
        <v>3173</v>
      </c>
      <c r="D67" s="12" t="inlineStr">
        <is>
          <t>KP/26-27/1342</t>
        </is>
      </c>
      <c r="E67" s="14" t="n">
        <v>46471</v>
      </c>
      <c r="F67" s="12" t="inlineStr">
        <is>
          <t>24WGHCK4121C1Z7</t>
        </is>
      </c>
      <c r="G67" s="12" t="inlineStr">
        <is>
          <t>Purchases – packing materials</t>
        </is>
      </c>
      <c r="H67" s="15" t="n">
        <v>212400</v>
      </c>
      <c r="K67" s="15" t="n">
        <v>38232</v>
      </c>
      <c r="M67" s="15" t="n">
        <v>250632</v>
      </c>
    </row>
    <row r="68">
      <c r="A68" s="14" t="n">
        <v>46476</v>
      </c>
      <c r="B68" s="12" t="inlineStr">
        <is>
          <t>Moshi Corrugators</t>
        </is>
      </c>
      <c r="C68" s="12" t="n">
        <v>3195</v>
      </c>
      <c r="D68" s="12" t="inlineStr">
        <is>
          <t>MC/26-27/289</t>
        </is>
      </c>
      <c r="E68" s="14" t="n">
        <v>46476</v>
      </c>
      <c r="F68" s="12" t="inlineStr">
        <is>
          <t>27YNLPL0717M1Z1</t>
        </is>
      </c>
      <c r="G68" s="12" t="inlineStr">
        <is>
          <t>Purchases – packing materials</t>
        </is>
      </c>
      <c r="H68" s="15" t="n">
        <v>88480</v>
      </c>
      <c r="I68" s="15" t="n">
        <v>2212</v>
      </c>
      <c r="J68" s="15" t="n">
        <v>2212</v>
      </c>
      <c r="M68" s="15" t="n">
        <v>92904</v>
      </c>
    </row>
    <row r="69">
      <c r="A69" s="14" t="n">
        <v>46477</v>
      </c>
      <c r="B69" s="12" t="inlineStr">
        <is>
          <t>Mundhwa Lubricants and Chemicals</t>
        </is>
      </c>
      <c r="C69" s="12" t="n">
        <v>3219</v>
      </c>
      <c r="D69" s="12" t="inlineStr">
        <is>
          <t>MLC/26-27/1418</t>
        </is>
      </c>
      <c r="E69" s="14" t="n">
        <v>46477</v>
      </c>
      <c r="F69" s="12" t="inlineStr">
        <is>
          <t>27WHQFM7542F1ZX</t>
        </is>
      </c>
      <c r="G69" s="12" t="inlineStr">
        <is>
          <t>Purchases – stores and consumables</t>
        </is>
      </c>
      <c r="H69" s="15" t="n">
        <v>244860</v>
      </c>
      <c r="I69" s="15" t="n">
        <v>22037.4</v>
      </c>
      <c r="J69" s="15" t="n">
        <v>22037.4</v>
      </c>
      <c r="L69" s="15" t="n">
        <v>0.2</v>
      </c>
      <c r="M69" s="15" t="n">
        <v>288935</v>
      </c>
    </row>
    <row r="71">
      <c r="B71" s="12" t="inlineStr">
        <is>
          <t>Grand Total</t>
        </is>
      </c>
      <c r="H71" s="15" t="n">
        <v>10506000</v>
      </c>
      <c r="I71" s="15" t="n">
        <v>347232</v>
      </c>
      <c r="J71" s="15" t="n">
        <v>347232</v>
      </c>
      <c r="K71" s="15" t="n">
        <v>912960</v>
      </c>
      <c r="L71" s="15" t="n">
        <v>0.2</v>
      </c>
      <c r="M71" s="15" t="n">
        <v>12113424.2</v>
      </c>
    </row>
  </sheetData>
  <pageMargins left="0.75" right="0.75" top="1" bottom="1" header="0.5" footer="0.5"/>
  <pageSetup orientation="landscape" fitToHeight="0" fitToWidth="1"/>
  <headerFooter>
    <oddHeader>&amp;C&amp;9 MSC Articleship Program | Work Simulation</oddHeader>
    <oddFooter>&amp;C&amp;9 CA Padam Bhansali | My Student Club ·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9AA3B2"/>
    <outlinePr summaryBelow="1" summaryRight="1"/>
    <pageSetUpPr fitToPage="1"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3" customWidth="1" min="3" max="3"/>
    <col width="14" customWidth="1" min="4" max="4"/>
    <col width="12" customWidth="1" min="5" max="5"/>
    <col width="17" customWidth="1" min="6" max="6"/>
    <col width="9" customWidth="1" min="7" max="7"/>
    <col width="11" customWidth="1" min="8" max="8"/>
  </cols>
  <sheetData>
    <row r="1">
      <c r="A1" s="13" t="inlineStr">
        <is>
          <t>Tamhini Drivetech Private Limited · Vendor master (extract)</t>
        </is>
      </c>
    </row>
    <row r="2">
      <c r="A2" s="2" t="inlineStr">
        <is>
          <t>Printed 20-04-2027</t>
        </is>
      </c>
    </row>
    <row r="3">
      <c r="A3" s="16" t="inlineStr">
        <is>
          <t>Vendor</t>
        </is>
      </c>
      <c r="B3" s="16" t="inlineStr">
        <is>
          <t>GSTIN</t>
        </is>
      </c>
      <c r="C3" s="16" t="inlineStr">
        <is>
          <t>PAN</t>
        </is>
      </c>
      <c r="D3" s="16" t="inlineStr">
        <is>
          <t>State</t>
        </is>
      </c>
      <c r="E3" s="16" t="inlineStr">
        <is>
          <t>Vendor code</t>
        </is>
      </c>
      <c r="F3" s="16" t="inlineStr">
        <is>
          <t>Place</t>
        </is>
      </c>
      <c r="G3" s="16" t="inlineStr">
        <is>
          <t>MSME</t>
        </is>
      </c>
      <c r="H3" s="16" t="inlineStr">
        <is>
          <t>Credit days</t>
        </is>
      </c>
    </row>
    <row r="4">
      <c r="A4" s="12" t="inlineStr">
        <is>
          <t>Ghanekar Alloy Steels Private Limited</t>
        </is>
      </c>
      <c r="B4" s="12" t="inlineStr">
        <is>
          <t>27UMVCG6849R1ZY</t>
        </is>
      </c>
      <c r="C4" s="12" t="inlineStr">
        <is>
          <t>UMVCG6849R</t>
        </is>
      </c>
      <c r="D4" s="12" t="inlineStr">
        <is>
          <t>Maharashtra</t>
        </is>
      </c>
      <c r="E4" s="12" t="inlineStr">
        <is>
          <t>VEN-1001</t>
        </is>
      </c>
      <c r="F4" s="12" t="inlineStr">
        <is>
          <t>Jalna</t>
        </is>
      </c>
      <c r="G4" s="12" t="inlineStr">
        <is>
          <t>–</t>
        </is>
      </c>
      <c r="H4" s="12" t="n">
        <v>60</v>
      </c>
    </row>
    <row r="5">
      <c r="A5" s="12" t="inlineStr">
        <is>
          <t>Kharun Steels Private Limited</t>
        </is>
      </c>
      <c r="B5" s="12" t="inlineStr">
        <is>
          <t>22UFLCK0414F1Z9</t>
        </is>
      </c>
      <c r="C5" s="12" t="inlineStr">
        <is>
          <t>UFLCK0414F</t>
        </is>
      </c>
      <c r="D5" s="12" t="inlineStr">
        <is>
          <t>Chhattisgarh</t>
        </is>
      </c>
      <c r="E5" s="12" t="inlineStr">
        <is>
          <t>VEN-1002</t>
        </is>
      </c>
      <c r="F5" s="12" t="inlineStr">
        <is>
          <t>Raipur</t>
        </is>
      </c>
      <c r="G5" s="12" t="inlineStr">
        <is>
          <t>–</t>
        </is>
      </c>
      <c r="H5" s="12" t="n">
        <v>60</v>
      </c>
    </row>
    <row r="6">
      <c r="A6" s="12" t="inlineStr">
        <is>
          <t>Rankala Forgings Private Limited</t>
        </is>
      </c>
      <c r="B6" s="12" t="inlineStr">
        <is>
          <t>27UJPCR7248B1Z1</t>
        </is>
      </c>
      <c r="C6" s="12" t="inlineStr">
        <is>
          <t>UJPCR7248B</t>
        </is>
      </c>
      <c r="D6" s="12" t="inlineStr">
        <is>
          <t>Maharashtra</t>
        </is>
      </c>
      <c r="E6" s="12" t="inlineStr">
        <is>
          <t>VEN-1003</t>
        </is>
      </c>
      <c r="F6" s="12" t="inlineStr">
        <is>
          <t>Kolhapur</t>
        </is>
      </c>
      <c r="G6" s="12" t="inlineStr">
        <is>
          <t>Small</t>
        </is>
      </c>
      <c r="H6" s="12" t="n">
        <v>45</v>
      </c>
    </row>
    <row r="7">
      <c r="A7" s="12" t="inlineStr">
        <is>
          <t>Bhadar Forge and Engineering Private Limited</t>
        </is>
      </c>
      <c r="B7" s="12" t="inlineStr">
        <is>
          <t>24YLTCB8047E1Z6</t>
        </is>
      </c>
      <c r="C7" s="12" t="inlineStr">
        <is>
          <t>YLTCB8047E</t>
        </is>
      </c>
      <c r="D7" s="12" t="inlineStr">
        <is>
          <t>Gujarat</t>
        </is>
      </c>
      <c r="E7" s="12" t="inlineStr">
        <is>
          <t>VEN-1004</t>
        </is>
      </c>
      <c r="F7" s="12" t="inlineStr">
        <is>
          <t>Rajkot</t>
        </is>
      </c>
      <c r="G7" s="12" t="inlineStr">
        <is>
          <t>–</t>
        </is>
      </c>
      <c r="H7" s="12" t="n">
        <v>60</v>
      </c>
    </row>
    <row r="8">
      <c r="A8" s="12" t="inlineStr">
        <is>
          <t>Vishwamitri Bearings Private Limited</t>
        </is>
      </c>
      <c r="B8" s="12" t="inlineStr">
        <is>
          <t>24UQQCV0863H1ZL</t>
        </is>
      </c>
      <c r="C8" s="12" t="inlineStr">
        <is>
          <t>UQQCV0863H</t>
        </is>
      </c>
      <c r="D8" s="12" t="inlineStr">
        <is>
          <t>Gujarat</t>
        </is>
      </c>
      <c r="E8" s="12" t="inlineStr">
        <is>
          <t>VEN-1005</t>
        </is>
      </c>
      <c r="F8" s="12" t="inlineStr">
        <is>
          <t>Vadodara</t>
        </is>
      </c>
      <c r="G8" s="12" t="inlineStr">
        <is>
          <t>–</t>
        </is>
      </c>
      <c r="H8" s="12" t="n">
        <v>60</v>
      </c>
    </row>
    <row r="9">
      <c r="A9" s="12" t="inlineStr">
        <is>
          <t>Palar Seals and Gaskets Private Limited</t>
        </is>
      </c>
      <c r="B9" s="12" t="inlineStr">
        <is>
          <t>33VMJCP6724Z1Z1</t>
        </is>
      </c>
      <c r="C9" s="12" t="inlineStr">
        <is>
          <t>VMJCP6724Z</t>
        </is>
      </c>
      <c r="D9" s="12" t="inlineStr">
        <is>
          <t>Tamil Nadu</t>
        </is>
      </c>
      <c r="E9" s="12" t="inlineStr">
        <is>
          <t>VEN-1006</t>
        </is>
      </c>
      <c r="F9" s="12" t="inlineStr">
        <is>
          <t>Chennai</t>
        </is>
      </c>
      <c r="G9" s="12" t="inlineStr">
        <is>
          <t>–</t>
        </is>
      </c>
      <c r="H9" s="12" t="n">
        <v>60</v>
      </c>
    </row>
    <row r="10">
      <c r="A10" s="12" t="inlineStr">
        <is>
          <t>Sohna Friction Products Private Limited</t>
        </is>
      </c>
      <c r="B10" s="12" t="inlineStr">
        <is>
          <t>06ZDICS4933L1Z4</t>
        </is>
      </c>
      <c r="C10" s="12" t="inlineStr">
        <is>
          <t>ZDICS4933L</t>
        </is>
      </c>
      <c r="D10" s="12" t="inlineStr">
        <is>
          <t>Haryana</t>
        </is>
      </c>
      <c r="E10" s="12" t="inlineStr">
        <is>
          <t>VEN-1007</t>
        </is>
      </c>
      <c r="F10" s="12" t="inlineStr">
        <is>
          <t>Gurugram</t>
        </is>
      </c>
      <c r="G10" s="12" t="inlineStr">
        <is>
          <t>–</t>
        </is>
      </c>
      <c r="H10" s="12" t="n">
        <v>60</v>
      </c>
    </row>
    <row r="11">
      <c r="A11" s="12" t="inlineStr">
        <is>
          <t>Phillaur Fasteners Private Limited</t>
        </is>
      </c>
      <c r="B11" s="12" t="inlineStr">
        <is>
          <t>03UBZCP4197S1ZJ</t>
        </is>
      </c>
      <c r="C11" s="12" t="inlineStr">
        <is>
          <t>UBZCP4197S</t>
        </is>
      </c>
      <c r="D11" s="12" t="inlineStr">
        <is>
          <t>Punjab</t>
        </is>
      </c>
      <c r="E11" s="12" t="inlineStr">
        <is>
          <t>VEN-1008</t>
        </is>
      </c>
      <c r="F11" s="12" t="inlineStr">
        <is>
          <t>Ludhiana</t>
        </is>
      </c>
      <c r="G11" s="12" t="inlineStr">
        <is>
          <t>Small</t>
        </is>
      </c>
      <c r="H11" s="12" t="n">
        <v>45</v>
      </c>
    </row>
    <row r="12">
      <c r="A12" s="12" t="inlineStr">
        <is>
          <t>Hebbal Tooling Solutions Private Limited</t>
        </is>
      </c>
      <c r="B12" s="12" t="inlineStr">
        <is>
          <t>29ZEMCH0865A1ZP</t>
        </is>
      </c>
      <c r="C12" s="12" t="inlineStr">
        <is>
          <t>ZEMCH0865A</t>
        </is>
      </c>
      <c r="D12" s="12" t="inlineStr">
        <is>
          <t>Karnataka</t>
        </is>
      </c>
      <c r="E12" s="12" t="inlineStr">
        <is>
          <t>VEN-1009</t>
        </is>
      </c>
      <c r="F12" s="12" t="inlineStr">
        <is>
          <t>Bengaluru</t>
        </is>
      </c>
      <c r="G12" s="12" t="inlineStr">
        <is>
          <t>–</t>
        </is>
      </c>
      <c r="H12" s="12" t="n">
        <v>45</v>
      </c>
    </row>
    <row r="13">
      <c r="A13" s="12" t="inlineStr">
        <is>
          <t>Mundhwa Lubricants and Chemicals</t>
        </is>
      </c>
      <c r="B13" s="12" t="inlineStr">
        <is>
          <t>27WHQFM7542F1ZX</t>
        </is>
      </c>
      <c r="C13" s="12" t="inlineStr">
        <is>
          <t>WHQFM7542F</t>
        </is>
      </c>
      <c r="D13" s="12" t="inlineStr">
        <is>
          <t>Maharashtra</t>
        </is>
      </c>
      <c r="E13" s="12" t="inlineStr">
        <is>
          <t>VEN-1010</t>
        </is>
      </c>
      <c r="F13" s="12" t="inlineStr">
        <is>
          <t>Pune</t>
        </is>
      </c>
      <c r="G13" s="12" t="inlineStr">
        <is>
          <t>–</t>
        </is>
      </c>
      <c r="H13" s="12" t="n">
        <v>30</v>
      </c>
    </row>
    <row r="14">
      <c r="A14" s="12" t="inlineStr">
        <is>
          <t>Moshi Corrugators (Prop. Ramesh Landge)</t>
        </is>
      </c>
      <c r="B14" s="12" t="inlineStr">
        <is>
          <t>27YNLPL0717M1Z1</t>
        </is>
      </c>
      <c r="C14" s="12" t="inlineStr">
        <is>
          <t>YNLPL0717M</t>
        </is>
      </c>
      <c r="D14" s="12" t="inlineStr">
        <is>
          <t>Maharashtra</t>
        </is>
      </c>
      <c r="E14" s="12" t="inlineStr">
        <is>
          <t>VEN-1011</t>
        </is>
      </c>
      <c r="F14" s="12" t="inlineStr">
        <is>
          <t>Pune</t>
        </is>
      </c>
      <c r="G14" s="12" t="inlineStr">
        <is>
          <t>Micro</t>
        </is>
      </c>
      <c r="H14" s="12" t="n">
        <v>30</v>
      </c>
    </row>
    <row r="15">
      <c r="A15" s="12" t="inlineStr">
        <is>
          <t>Alandi Paper Products (Prop. Kiran Kurhade)</t>
        </is>
      </c>
      <c r="B15" s="12" t="inlineStr">
        <is>
          <t>27ZDLPK9230K1ZG</t>
        </is>
      </c>
      <c r="C15" s="12" t="inlineStr">
        <is>
          <t>ZDLPK9230K</t>
        </is>
      </c>
      <c r="D15" s="12" t="inlineStr">
        <is>
          <t>Maharashtra</t>
        </is>
      </c>
      <c r="E15" s="12" t="inlineStr">
        <is>
          <t>VEN-1012</t>
        </is>
      </c>
      <c r="F15" s="12" t="inlineStr">
        <is>
          <t>Alandi</t>
        </is>
      </c>
      <c r="G15" s="12" t="inlineStr">
        <is>
          <t>Micro</t>
        </is>
      </c>
      <c r="H15" s="12" t="n">
        <v>30</v>
      </c>
    </row>
    <row r="16">
      <c r="A16" s="12" t="inlineStr">
        <is>
          <t>Kolak Polypack Private Limited</t>
        </is>
      </c>
      <c r="B16" s="12" t="inlineStr">
        <is>
          <t>24WGHCK4121C1Z7</t>
        </is>
      </c>
      <c r="C16" s="12" t="inlineStr">
        <is>
          <t>WGHCK4121C</t>
        </is>
      </c>
      <c r="D16" s="12" t="inlineStr">
        <is>
          <t>Gujarat</t>
        </is>
      </c>
      <c r="E16" s="12" t="inlineStr">
        <is>
          <t>VEN-1013</t>
        </is>
      </c>
      <c r="F16" s="12" t="inlineStr">
        <is>
          <t>Vapi</t>
        </is>
      </c>
      <c r="G16" s="12" t="inlineStr">
        <is>
          <t>Small</t>
        </is>
      </c>
      <c r="H16" s="12" t="n">
        <v>45</v>
      </c>
    </row>
    <row r="17">
      <c r="A17" s="12" t="inlineStr">
        <is>
          <t>Kudalwadi Heat Treaters</t>
        </is>
      </c>
      <c r="B17" s="12" t="inlineStr">
        <is>
          <t>27ZPIFK9501Q1Z5</t>
        </is>
      </c>
      <c r="C17" s="12" t="inlineStr">
        <is>
          <t>ZPIFK9501Q</t>
        </is>
      </c>
      <c r="D17" s="12" t="inlineStr">
        <is>
          <t>Maharashtra</t>
        </is>
      </c>
      <c r="E17" s="12" t="inlineStr">
        <is>
          <t>VEN-1014</t>
        </is>
      </c>
      <c r="F17" s="12" t="inlineStr">
        <is>
          <t>Pimpri-Chinchwad</t>
        </is>
      </c>
      <c r="G17" s="12" t="inlineStr">
        <is>
          <t>Small</t>
        </is>
      </c>
      <c r="H17" s="12" t="n">
        <v>45</v>
      </c>
    </row>
    <row r="18">
      <c r="A18" s="12" t="inlineStr">
        <is>
          <t>Sakhare Surface Treatment</t>
        </is>
      </c>
      <c r="B18" s="12" t="inlineStr">
        <is>
          <t>27ZJGPS6000S1ZY</t>
        </is>
      </c>
      <c r="C18" s="12" t="inlineStr">
        <is>
          <t>ZJGPS6000S</t>
        </is>
      </c>
      <c r="D18" s="12" t="inlineStr">
        <is>
          <t>Maharashtra</t>
        </is>
      </c>
      <c r="E18" s="12" t="inlineStr">
        <is>
          <t>VEN-1015</t>
        </is>
      </c>
      <c r="F18" s="12" t="inlineStr">
        <is>
          <t>Chakan</t>
        </is>
      </c>
      <c r="G18" s="12" t="inlineStr">
        <is>
          <t>Micro</t>
        </is>
      </c>
      <c r="H18" s="12" t="n">
        <v>30</v>
      </c>
    </row>
  </sheetData>
  <pageMargins left="0.75" right="0.75" top="1" bottom="1" header="0.5" footer="0.5"/>
  <pageSetup orientation="landscape" fitToHeight="0" fitToWidth="1"/>
  <headerFooter>
    <oddHeader>&amp;C&amp;9 MSC Articleship Program | Work Simulation</oddHeader>
    <oddFooter>&amp;C&amp;9 CA Padam Bhansali | My Student Club ·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9AA3B2"/>
    <outlinePr summaryBelow="1" summaryRight="1"/>
    <pageSetUpPr fitToPage="1"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3" t="inlineStr">
        <is>
          <t>Tamhini Drivetech Private Limited</t>
        </is>
      </c>
    </row>
    <row r="2">
      <c r="A2" s="2" t="inlineStr">
        <is>
          <t>Trial Balance · 1-Jan-2027 to 31-Mar-2027 · extract, typed from the Tally print</t>
        </is>
      </c>
    </row>
    <row r="4" ht="30" customHeight="1">
      <c r="A4" s="17" t="inlineStr">
        <is>
          <t>Particulars</t>
        </is>
      </c>
      <c r="B4" s="18" t="inlineStr">
        <is>
          <t>Opening Balance (Dr)</t>
        </is>
      </c>
      <c r="C4" s="18" t="inlineStr">
        <is>
          <t>Transactions: Debit</t>
        </is>
      </c>
      <c r="D4" s="18" t="inlineStr">
        <is>
          <t>Transactions: Credit</t>
        </is>
      </c>
      <c r="E4" s="18" t="inlineStr">
        <is>
          <t>Closing Balance (Dr)</t>
        </is>
      </c>
    </row>
    <row r="5">
      <c r="A5" s="12" t="inlineStr">
        <is>
          <t>Purchases – raw materials</t>
        </is>
      </c>
      <c r="B5" s="15" t="n">
        <v>409005000</v>
      </c>
      <c r="C5" s="15" t="n">
        <v>139995000</v>
      </c>
      <c r="E5" s="15" t="n">
        <v>549000000</v>
      </c>
    </row>
    <row r="6">
      <c r="A6" s="12" t="inlineStr">
        <is>
          <t>Purchases – bought-out parts</t>
        </is>
      </c>
      <c r="B6" s="15" t="n">
        <v>24734000</v>
      </c>
      <c r="C6" s="15" t="n">
        <v>8466000</v>
      </c>
      <c r="E6" s="15" t="n">
        <v>33200000</v>
      </c>
    </row>
    <row r="7">
      <c r="A7" s="12" t="inlineStr">
        <is>
          <t>Purchases – traded goods</t>
        </is>
      </c>
      <c r="B7" s="15" t="n">
        <v>109366000</v>
      </c>
      <c r="C7" s="15" t="n">
        <v>37434000</v>
      </c>
      <c r="E7" s="15" t="n">
        <v>146800000</v>
      </c>
    </row>
    <row r="8">
      <c r="A8" s="12" t="inlineStr">
        <is>
          <t>Purchases – stores and consumables</t>
        </is>
      </c>
      <c r="B8" s="15" t="n">
        <v>20711000</v>
      </c>
      <c r="C8" s="15" t="n">
        <v>7089000</v>
      </c>
      <c r="E8" s="15" t="n">
        <v>27800000</v>
      </c>
    </row>
    <row r="9">
      <c r="A9" s="12" t="inlineStr">
        <is>
          <t>Purchases – packing materials</t>
        </is>
      </c>
      <c r="B9" s="15" t="n">
        <v>9983000</v>
      </c>
      <c r="C9" s="15" t="n">
        <v>3417000</v>
      </c>
      <c r="E9" s="15" t="n">
        <v>13400000</v>
      </c>
    </row>
    <row r="10">
      <c r="A10" s="13" t="inlineStr">
        <is>
          <t>Purchase Accounts</t>
        </is>
      </c>
      <c r="B10" s="19" t="n">
        <v>573799000</v>
      </c>
      <c r="C10" s="19" t="n">
        <v>196401000</v>
      </c>
      <c r="E10" s="19" t="n">
        <v>770200000</v>
      </c>
    </row>
  </sheetData>
  <pageMargins left="0.75" right="0.75" top="1" bottom="1" header="0.5" footer="0.5"/>
  <pageSetup orientation="landscape" fitToHeight="0" fitToWidth="1"/>
  <headerFooter>
    <oddHeader>&amp;C&amp;9 MSC Articleship Program | Work Simulation</oddHeader>
    <oddFooter>&amp;C&amp;9 CA Padam Bhansali | My Student Club ·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AA3B2"/>
    <outlinePr summaryBelow="1" summaryRight="1"/>
    <pageSetUpPr fitToPage="1"/>
  </sheetPr>
  <dimension ref="A1:T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" customWidth="1" min="3" max="3"/>
    <col width="16" customWidth="1" min="4" max="4"/>
    <col width="15" customWidth="1" min="5" max="5"/>
    <col width="19" customWidth="1" min="6" max="6"/>
    <col width="3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15" customWidth="1" min="14" max="14"/>
    <col width="12" customWidth="1" min="15" max="15"/>
    <col width="3" customWidth="1" min="16" max="16"/>
    <col width="34" customWidth="1" min="17" max="17"/>
    <col width="18" customWidth="1" min="18" max="18"/>
    <col width="16" customWidth="1" min="19" max="19"/>
    <col width="16" customWidth="1" min="20" max="20"/>
  </cols>
  <sheetData>
    <row r="1">
      <c r="B1" s="12" t="inlineStr">
        <is>
          <t>Tamhini Drivetech Private Limited</t>
        </is>
      </c>
    </row>
    <row r="2">
      <c r="B2" s="12" t="inlineStr">
        <is>
          <t>B-47, MIDC Chakan Phase II, Pune 410501</t>
        </is>
      </c>
    </row>
    <row r="3">
      <c r="B3" s="12" t="inlineStr">
        <is>
          <t>Purchase Register</t>
        </is>
      </c>
    </row>
    <row r="4">
      <c r="B4" s="12" t="inlineStr">
        <is>
          <t>1-Jan-2027 to 31-Mar-2027</t>
        </is>
      </c>
      <c r="Q4" s="16" t="inlineStr">
        <is>
          <t>Ledger</t>
        </is>
      </c>
      <c r="R4" s="16" t="inlineStr">
        <is>
          <t>Register (SUMIFS)</t>
        </is>
      </c>
      <c r="S4" s="16" t="inlineStr">
        <is>
          <t>TB</t>
        </is>
      </c>
      <c r="T4" s="16" t="inlineStr">
        <is>
          <t>Difference</t>
        </is>
      </c>
    </row>
    <row r="5">
      <c r="A5" s="13" t="inlineStr">
        <is>
          <t>Date</t>
        </is>
      </c>
      <c r="B5" s="13" t="inlineStr">
        <is>
          <t>Particulars</t>
        </is>
      </c>
      <c r="C5" s="13" t="inlineStr">
        <is>
          <t>Vch No.</t>
        </is>
      </c>
      <c r="D5" s="13" t="inlineStr">
        <is>
          <t>Supplier Inv No.</t>
        </is>
      </c>
      <c r="E5" s="13" t="inlineStr">
        <is>
          <t>Supplier Inv Date</t>
        </is>
      </c>
      <c r="F5" s="13" t="inlineStr">
        <is>
          <t>GSTIN/UIN</t>
        </is>
      </c>
      <c r="G5" s="13" t="inlineStr">
        <is>
          <t>Purchase Ledger</t>
        </is>
      </c>
      <c r="H5" s="13" t="inlineStr">
        <is>
          <t>Taxable Value</t>
        </is>
      </c>
      <c r="I5" s="13" t="inlineStr">
        <is>
          <t>CGST</t>
        </is>
      </c>
      <c r="J5" s="13" t="inlineStr">
        <is>
          <t>SGST</t>
        </is>
      </c>
      <c r="K5" s="13" t="inlineStr">
        <is>
          <t>IGST</t>
        </is>
      </c>
      <c r="L5" s="13" t="inlineStr">
        <is>
          <t>Round Off</t>
        </is>
      </c>
      <c r="M5" s="13" t="inlineStr">
        <is>
          <t>Gross Total</t>
        </is>
      </c>
      <c r="N5" s="13" t="inlineStr">
        <is>
          <t>MSME (lookup)</t>
        </is>
      </c>
      <c r="O5" s="13" t="inlineStr">
        <is>
          <t>Same party + amount</t>
        </is>
      </c>
      <c r="Q5" t="inlineStr">
        <is>
          <t>Purchases – packing materials</t>
        </is>
      </c>
      <c r="R5" s="15">
        <f>SUMIFS($H$6:$H$71, $G$6:$G$71, Q5)</f>
        <v>3278500</v>
      </c>
      <c r="S5" s="15" t="n">
        <v>13400000</v>
      </c>
      <c r="T5" s="15">
        <f>R5-S5</f>
        <v>-10121500</v>
      </c>
    </row>
    <row r="6">
      <c r="A6" s="14" t="n">
        <v>46389</v>
      </c>
      <c r="B6" s="12" t="inlineStr">
        <is>
          <t>Kolak Polypack Private Limited</t>
        </is>
      </c>
      <c r="C6" s="12" t="n">
        <v>2251</v>
      </c>
      <c r="D6" s="12" t="inlineStr">
        <is>
          <t>KP/26-27/1253</t>
        </is>
      </c>
      <c r="E6" s="14" t="n">
        <v>46386</v>
      </c>
      <c r="F6" s="12" t="inlineStr">
        <is>
          <t>24WGHCK4121C1Z7</t>
        </is>
      </c>
      <c r="G6" s="12" t="inlineStr">
        <is>
          <t>Purchases – packing materials</t>
        </is>
      </c>
      <c r="H6" s="15" t="n">
        <v>146000</v>
      </c>
      <c r="K6" s="15" t="n">
        <v>26280</v>
      </c>
      <c r="M6" s="15" t="n">
        <v>172280</v>
      </c>
      <c r="N6" s="12" t="str">
        <f>VLOOKUP(F6, Vendors!$B$4:$H$18, 6, FALSE)</f>
        <v>Small</v>
      </c>
      <c r="O6" s="12">
        <f>IF(ISNUMBER(H6), COUNTIFS($B$6:$B$71, B6, $H$6:$H$71, H6), 0)</f>
        <v>1</v>
      </c>
      <c r="Q6" t="inlineStr">
        <is>
          <t>Purchases – stores and consumables</t>
        </is>
      </c>
      <c r="R6" s="15">
        <f>SUMIFS($H$6:$H$71, $G$6:$G$71, Q6)</f>
        <v>7430000</v>
      </c>
      <c r="S6" s="15" t="n">
        <v>27800000</v>
      </c>
      <c r="T6" s="15">
        <f>R6-S6</f>
        <v>-20370000</v>
      </c>
    </row>
    <row r="7">
      <c r="B7" s="12" t="inlineStr">
        <is>
          <t>(Recd 2-1-2027 vide GRN-2027-01-0017)</t>
        </is>
      </c>
      <c r="N7" s="12" t="e">
        <f>VLOOKUP(F7, Vendors!$B$4:$H$18, 6, FALSE)</f>
        <v>#N/A</v>
      </c>
      <c r="O7" s="12">
        <f>IF(ISNUMBER(H7), COUNTIFS($B$6:$B$71, B7, $H$6:$H$71, H7), 0)</f>
        <v>0</v>
      </c>
      <c r="Q7" t="inlineStr">
        <is>
          <t>Total</t>
        </is>
      </c>
      <c r="R7" s="20">
        <f>R5+R6</f>
        <v>10708500</v>
      </c>
      <c r="S7" s="20">
        <f>S5+S6</f>
        <v>41200000</v>
      </c>
      <c r="T7" s="20">
        <f>T5+T6</f>
        <v>-30491500</v>
      </c>
    </row>
    <row r="8">
      <c r="A8" s="14" t="n">
        <v>46391</v>
      </c>
      <c r="B8" s="12" t="inlineStr">
        <is>
          <t>Moshi Corrugators</t>
        </is>
      </c>
      <c r="C8" s="12" t="n">
        <v>2271</v>
      </c>
      <c r="D8" s="12" t="inlineStr">
        <is>
          <t>MC/26-27/214</t>
        </is>
      </c>
      <c r="E8" s="14" t="n">
        <v>46391</v>
      </c>
      <c r="F8" s="12" t="inlineStr">
        <is>
          <t>27YNLPL0717M1Z1</t>
        </is>
      </c>
      <c r="G8" s="12" t="inlineStr">
        <is>
          <t>Purchases – packing materials</t>
        </is>
      </c>
      <c r="H8" s="15" t="n">
        <v>76800</v>
      </c>
      <c r="I8" s="15" t="n">
        <v>1920</v>
      </c>
      <c r="J8" s="15" t="n">
        <v>1920</v>
      </c>
      <c r="M8" s="15" t="n">
        <v>80640</v>
      </c>
      <c r="N8" s="12" t="str">
        <f>VLOOKUP(F8, Vendors!$B$4:$H$18, 6, FALSE)</f>
        <v>Micro</v>
      </c>
      <c r="O8" s="12">
        <f>IF(ISNUMBER(H8), COUNTIFS($B$6:$B$71, B8, $H$6:$H$71, H8), 0)</f>
        <v>1</v>
      </c>
    </row>
    <row r="9">
      <c r="A9" s="14" t="n">
        <v>46394</v>
      </c>
      <c r="B9" s="12" t="inlineStr">
        <is>
          <t>Moshi Corrugators</t>
        </is>
      </c>
      <c r="C9" s="12" t="n">
        <v>2305</v>
      </c>
      <c r="D9" s="12" t="inlineStr">
        <is>
          <t>MC/26-27/217</t>
        </is>
      </c>
      <c r="E9" s="14" t="n">
        <v>46394</v>
      </c>
      <c r="F9" s="12" t="inlineStr">
        <is>
          <t>27YNLPL0717M1Z1</t>
        </is>
      </c>
      <c r="G9" s="12" t="inlineStr">
        <is>
          <t>Purchases – packing materials</t>
        </is>
      </c>
      <c r="H9" s="15" t="n">
        <v>86400</v>
      </c>
      <c r="I9" s="15" t="n">
        <v>2160</v>
      </c>
      <c r="J9" s="15" t="n">
        <v>2160</v>
      </c>
      <c r="M9" s="15" t="n">
        <v>90720</v>
      </c>
      <c r="N9" s="12" t="str">
        <f>VLOOKUP(F9, Vendors!$B$4:$H$18, 6, FALSE)</f>
        <v>Micro</v>
      </c>
      <c r="O9" s="12">
        <f>IF(ISNUMBER(H9), COUNTIFS($B$6:$B$71, B9, $H$6:$H$71, H9), 0)</f>
        <v>2</v>
      </c>
      <c r="Q9" s="21" t="inlineStr">
        <is>
          <t>Doesn’t tie. Out by crores on both??</t>
        </is>
      </c>
    </row>
    <row r="10">
      <c r="B10" s="12" t="inlineStr">
        <is>
          <t>(Being 3,600 nos 3-ply boxes, GRN-2027-01-0086)</t>
        </is>
      </c>
      <c r="N10" s="12" t="e">
        <f>VLOOKUP(F10, Vendors!$B$4:$H$18, 6, FALSE)</f>
        <v>#N/A</v>
      </c>
      <c r="O10" s="12">
        <f>IF(ISNUMBER(H10), COUNTIFS($B$6:$B$71, B10, $H$6:$H$71, H10), 0)</f>
        <v>0</v>
      </c>
      <c r="Q10" s="21" t="inlineStr">
        <is>
          <t>Will look again tomorrow. V</t>
        </is>
      </c>
    </row>
    <row r="11">
      <c r="A11" s="14" t="n">
        <v>46394</v>
      </c>
      <c r="B11" s="12" t="inlineStr">
        <is>
          <t>Hebbal Tooling Solutions Private Limited</t>
        </is>
      </c>
      <c r="C11" s="12" t="n">
        <v>2308</v>
      </c>
      <c r="D11" s="12" t="inlineStr">
        <is>
          <t>HTS/26-27/0874</t>
        </is>
      </c>
      <c r="E11" s="14" t="n">
        <v>46391</v>
      </c>
      <c r="F11" s="12" t="inlineStr">
        <is>
          <t>29ZEMCH0865A1ZP</t>
        </is>
      </c>
      <c r="G11" s="12" t="inlineStr">
        <is>
          <t>Purchases – stores and consumables</t>
        </is>
      </c>
      <c r="H11" s="15" t="n">
        <v>312500</v>
      </c>
      <c r="K11" s="15" t="n">
        <v>56250</v>
      </c>
      <c r="M11" s="15" t="n">
        <v>368750</v>
      </c>
      <c r="N11" s="12" t="str">
        <f>VLOOKUP(F11, Vendors!$B$4:$H$18, 6, FALSE)</f>
        <v>–</v>
      </c>
      <c r="O11" s="12">
        <f>IF(ISNUMBER(H11), COUNTIFS($B$6:$B$71, B11, $H$6:$H$71, H11), 0)</f>
        <v>1</v>
      </c>
    </row>
    <row r="12">
      <c r="A12" s="14" t="n">
        <v>46395</v>
      </c>
      <c r="B12" s="12" t="inlineStr">
        <is>
          <t>Mundhwa Lubricants and Chemicals</t>
        </is>
      </c>
      <c r="C12" s="12" t="n">
        <v>2313</v>
      </c>
      <c r="D12" s="12" t="inlineStr">
        <is>
          <t>MLC/26-27/1196</t>
        </is>
      </c>
      <c r="E12" s="14" t="n">
        <v>46395</v>
      </c>
      <c r="F12" s="12" t="inlineStr">
        <is>
          <t>27WHQFM7542F1ZX</t>
        </is>
      </c>
      <c r="G12" s="12" t="inlineStr">
        <is>
          <t>Purchases – stores and consumables</t>
        </is>
      </c>
      <c r="H12" s="15" t="n">
        <v>394600</v>
      </c>
      <c r="I12" s="15" t="n">
        <v>35514</v>
      </c>
      <c r="J12" s="15" t="n">
        <v>35514</v>
      </c>
      <c r="M12" s="15" t="n">
        <v>465628</v>
      </c>
      <c r="N12" s="12" t="str">
        <f>VLOOKUP(F12, Vendors!$B$4:$H$18, 6, FALSE)</f>
        <v>–</v>
      </c>
      <c r="O12" s="12">
        <f>IF(ISNUMBER(H12), COUNTIFS($B$6:$B$71, B12, $H$6:$H$71, H12), 0)</f>
        <v>1</v>
      </c>
    </row>
    <row r="13">
      <c r="A13" s="14" t="n">
        <v>46400</v>
      </c>
      <c r="B13" s="12" t="inlineStr">
        <is>
          <t>Moshi Corrugators</t>
        </is>
      </c>
      <c r="C13" s="12" t="n">
        <v>2367</v>
      </c>
      <c r="D13" s="12" t="inlineStr">
        <is>
          <t>MC/26-27/222</t>
        </is>
      </c>
      <c r="E13" s="14" t="n">
        <v>46400</v>
      </c>
      <c r="F13" s="12" t="inlineStr">
        <is>
          <t>27YNLPL0717M1Z1</t>
        </is>
      </c>
      <c r="G13" s="12" t="inlineStr">
        <is>
          <t>Purchases – packing materials</t>
        </is>
      </c>
      <c r="H13" s="15" t="n">
        <v>92160</v>
      </c>
      <c r="I13" s="15" t="n">
        <v>2304</v>
      </c>
      <c r="J13" s="15" t="n">
        <v>2304</v>
      </c>
      <c r="M13" s="15" t="n">
        <v>96768</v>
      </c>
      <c r="N13" s="12" t="str">
        <f>VLOOKUP(F13, Vendors!$B$4:$H$18, 6, FALSE)</f>
        <v>Micro</v>
      </c>
      <c r="O13" s="12">
        <f>IF(ISNUMBER(H13), COUNTIFS($B$6:$B$71, B13, $H$6:$H$71, H13), 0)</f>
        <v>1</v>
      </c>
    </row>
    <row r="14">
      <c r="A14" s="14" t="n">
        <v>46400</v>
      </c>
      <c r="B14" s="12" t="inlineStr">
        <is>
          <t>Alandi Paper Products</t>
        </is>
      </c>
      <c r="C14" s="12" t="n">
        <v>2370</v>
      </c>
      <c r="D14" s="12" t="inlineStr">
        <is>
          <t>APP/26-27/0149</t>
        </is>
      </c>
      <c r="E14" s="14" t="n">
        <v>46399</v>
      </c>
      <c r="F14" s="12" t="inlineStr">
        <is>
          <t>27ZDLPK9230K1ZG</t>
        </is>
      </c>
      <c r="G14" s="12" t="inlineStr">
        <is>
          <t>Purchases – packing materials</t>
        </is>
      </c>
      <c r="H14" s="15" t="n">
        <v>240000</v>
      </c>
      <c r="I14" s="15" t="n">
        <v>6000</v>
      </c>
      <c r="J14" s="15" t="n">
        <v>6000</v>
      </c>
      <c r="M14" s="15" t="n">
        <v>252000</v>
      </c>
      <c r="N14" s="12" t="str">
        <f>VLOOKUP(F14, Vendors!$B$4:$H$18, 6, FALSE)</f>
        <v>Micro</v>
      </c>
      <c r="O14" s="12">
        <f>IF(ISNUMBER(H14), COUNTIFS($B$6:$B$71, B14, $H$6:$H$71, H14), 0)</f>
        <v>1</v>
      </c>
    </row>
    <row r="15">
      <c r="A15" s="14" t="n">
        <v>46401</v>
      </c>
      <c r="B15" s="12" t="inlineStr">
        <is>
          <t>Hebbal Tooling Solutions Private Limited</t>
        </is>
      </c>
      <c r="C15" s="12" t="n">
        <v>2380</v>
      </c>
      <c r="D15" s="12" t="inlineStr">
        <is>
          <t>HTS/26-27/0879</t>
        </is>
      </c>
      <c r="E15" s="14" t="n">
        <v>46398</v>
      </c>
      <c r="F15" s="12" t="inlineStr">
        <is>
          <t>29ZEMCH0865A1ZP</t>
        </is>
      </c>
      <c r="G15" s="12" t="inlineStr">
        <is>
          <t>Purchases – stores and consumables</t>
        </is>
      </c>
      <c r="H15" s="15" t="n">
        <v>328000</v>
      </c>
      <c r="K15" s="15" t="n">
        <v>59040</v>
      </c>
      <c r="M15" s="15" t="n">
        <v>387040</v>
      </c>
      <c r="N15" s="12" t="str">
        <f>VLOOKUP(F15, Vendors!$B$4:$H$18, 6, FALSE)</f>
        <v>–</v>
      </c>
      <c r="O15" s="12">
        <f>IF(ISNUMBER(H15), COUNTIFS($B$6:$B$71, B15, $H$6:$H$71, H15), 0)</f>
        <v>1</v>
      </c>
    </row>
    <row r="16">
      <c r="A16" s="14" t="n">
        <v>46405</v>
      </c>
      <c r="B16" s="12" t="inlineStr">
        <is>
          <t>Moshi Corrugators</t>
        </is>
      </c>
      <c r="C16" s="12" t="n">
        <v>2421</v>
      </c>
      <c r="D16" s="12" t="inlineStr">
        <is>
          <t>MC/26-27/226</t>
        </is>
      </c>
      <c r="E16" s="14" t="n">
        <v>46405</v>
      </c>
      <c r="F16" s="12" t="inlineStr">
        <is>
          <t>27YNLPL0717M1Z1</t>
        </is>
      </c>
      <c r="G16" s="12" t="inlineStr">
        <is>
          <t>Purchases – packing materials</t>
        </is>
      </c>
      <c r="H16" s="15" t="n">
        <v>86400</v>
      </c>
      <c r="I16" s="15" t="n">
        <v>2160</v>
      </c>
      <c r="J16" s="15" t="n">
        <v>2160</v>
      </c>
      <c r="M16" s="15" t="n">
        <v>90720</v>
      </c>
      <c r="N16" s="12" t="str">
        <f>VLOOKUP(F16, Vendors!$B$4:$H$18, 6, FALSE)</f>
        <v>Micro</v>
      </c>
      <c r="O16" s="12">
        <f>IF(ISNUMBER(H16), COUNTIFS($B$6:$B$71, B16, $H$6:$H$71, H16), 0)</f>
        <v>2</v>
      </c>
    </row>
    <row r="17">
      <c r="A17" s="14" t="n">
        <v>46406</v>
      </c>
      <c r="B17" s="12" t="inlineStr">
        <is>
          <t>Kolak Polypack Private Limited</t>
        </is>
      </c>
      <c r="C17" s="12" t="n">
        <v>2434</v>
      </c>
      <c r="D17" s="12" t="inlineStr">
        <is>
          <t>KP/26-27/1264</t>
        </is>
      </c>
      <c r="E17" s="14" t="n">
        <v>46403</v>
      </c>
      <c r="F17" s="12" t="inlineStr">
        <is>
          <t>24WGHCK4121C1Z7</t>
        </is>
      </c>
      <c r="G17" s="12" t="inlineStr">
        <is>
          <t>Purchases – packing materials</t>
        </is>
      </c>
      <c r="H17" s="15" t="n">
        <v>136000</v>
      </c>
      <c r="K17" s="15" t="n">
        <v>24480</v>
      </c>
      <c r="M17" s="15" t="n">
        <v>160480</v>
      </c>
      <c r="N17" s="12" t="str">
        <f>VLOOKUP(F17, Vendors!$B$4:$H$18, 6, FALSE)</f>
        <v>Small</v>
      </c>
      <c r="O17" s="12">
        <f>IF(ISNUMBER(H17), COUNTIFS($B$6:$B$71, B17, $H$6:$H$71, H17), 0)</f>
        <v>1</v>
      </c>
    </row>
    <row r="18">
      <c r="A18" s="14" t="n">
        <v>46406</v>
      </c>
      <c r="B18" s="12" t="inlineStr">
        <is>
          <t>Mundhwa Lubricants and Chemicals</t>
        </is>
      </c>
      <c r="C18" s="12" t="n">
        <v>2437</v>
      </c>
      <c r="D18" s="12" t="inlineStr">
        <is>
          <t>MLC/26-27/1238</t>
        </is>
      </c>
      <c r="E18" s="14" t="n">
        <v>46406</v>
      </c>
      <c r="F18" s="12" t="inlineStr">
        <is>
          <t xml:space="preserve">27WHQFM7542F1ZX </t>
        </is>
      </c>
      <c r="G18" s="12" t="inlineStr">
        <is>
          <t>Purchases – stores and consumables</t>
        </is>
      </c>
      <c r="H18" s="15" t="n">
        <v>348200</v>
      </c>
      <c r="I18" s="15" t="n">
        <v>31338</v>
      </c>
      <c r="J18" s="15" t="n">
        <v>31338</v>
      </c>
      <c r="M18" s="15" t="n">
        <v>410876</v>
      </c>
      <c r="N18" s="12" t="e">
        <f>VLOOKUP(F18, Vendors!$B$4:$H$18, 6, FALSE)</f>
        <v>#N/A</v>
      </c>
      <c r="O18" s="12">
        <f>IF(ISNUMBER(H18), COUNTIFS($B$6:$B$71, B18, $H$6:$H$71, H18), 0)</f>
        <v>1</v>
      </c>
    </row>
    <row r="19">
      <c r="A19" s="14" t="n">
        <v>46408</v>
      </c>
      <c r="B19" s="12" t="inlineStr">
        <is>
          <t>Hebbal Tooling Solutions Private Limited</t>
        </is>
      </c>
      <c r="C19" s="12" t="n">
        <v>2454</v>
      </c>
      <c r="D19" s="12" t="inlineStr">
        <is>
          <t>HTS/26-27/0885</t>
        </is>
      </c>
      <c r="E19" s="14" t="n">
        <v>46405</v>
      </c>
      <c r="F19" s="12" t="inlineStr">
        <is>
          <t>29ZEMCH0865A1ZP</t>
        </is>
      </c>
      <c r="G19" s="12" t="inlineStr">
        <is>
          <t>Purchases – stores and consumables</t>
        </is>
      </c>
      <c r="H19" s="15" t="n">
        <v>297000</v>
      </c>
      <c r="K19" s="15" t="n">
        <v>53460</v>
      </c>
      <c r="M19" s="15" t="n">
        <v>350460</v>
      </c>
      <c r="N19" s="12" t="str">
        <f>VLOOKUP(F19, Vendors!$B$4:$H$18, 6, FALSE)</f>
        <v>–</v>
      </c>
      <c r="O19" s="12">
        <f>IF(ISNUMBER(H19), COUNTIFS($B$6:$B$71, B19, $H$6:$H$71, H19), 0)</f>
        <v>1</v>
      </c>
    </row>
    <row r="20">
      <c r="A20" s="14" t="n">
        <v>46409</v>
      </c>
      <c r="B20" s="12" t="inlineStr">
        <is>
          <t>Moshi Corrugators</t>
        </is>
      </c>
      <c r="C20" s="12" t="n">
        <v>2467</v>
      </c>
      <c r="D20" s="12" t="inlineStr">
        <is>
          <t>MC/26-27/229</t>
        </is>
      </c>
      <c r="E20" s="14" t="n">
        <v>46409</v>
      </c>
      <c r="F20" s="12" t="inlineStr">
        <is>
          <t>27YNLPL0717M1Z1</t>
        </is>
      </c>
      <c r="G20" s="12" t="inlineStr">
        <is>
          <t>Purchases – packing materials</t>
        </is>
      </c>
      <c r="H20" s="15" t="n">
        <v>72000</v>
      </c>
      <c r="I20" s="15" t="n">
        <v>1800</v>
      </c>
      <c r="J20" s="15" t="n">
        <v>1800</v>
      </c>
      <c r="M20" s="15" t="n">
        <v>75600</v>
      </c>
      <c r="N20" s="12" t="str">
        <f>VLOOKUP(F20, Vendors!$B$4:$H$18, 6, FALSE)</f>
        <v>Micro</v>
      </c>
      <c r="O20" s="12">
        <f>IF(ISNUMBER(H20), COUNTIFS($B$6:$B$71, B20, $H$6:$H$71, H20), 0)</f>
        <v>1</v>
      </c>
    </row>
    <row r="21">
      <c r="A21" s="14" t="n">
        <v>46414</v>
      </c>
      <c r="B21" s="12" t="inlineStr">
        <is>
          <t>Mundhwa Lubricants and Chemicals</t>
        </is>
      </c>
      <c r="C21" s="12" t="n">
        <v>2521</v>
      </c>
      <c r="D21" s="12" t="inlineStr">
        <is>
          <t>MLC/26-27/1269</t>
        </is>
      </c>
      <c r="E21" s="14" t="n">
        <v>46414</v>
      </c>
      <c r="F21" s="12" t="inlineStr">
        <is>
          <t>27WHQFM7542F1ZX</t>
        </is>
      </c>
      <c r="G21" s="12" t="inlineStr">
        <is>
          <t>Purchases – stores and consumables</t>
        </is>
      </c>
      <c r="H21" s="15" t="n">
        <v>308200</v>
      </c>
      <c r="I21" s="15" t="n">
        <v>27738</v>
      </c>
      <c r="J21" s="15" t="n">
        <v>27738</v>
      </c>
      <c r="M21" s="15" t="n">
        <v>363676</v>
      </c>
      <c r="N21" s="12" t="str">
        <f>VLOOKUP(F21, Vendors!$B$4:$H$18, 6, FALSE)</f>
        <v>–</v>
      </c>
      <c r="O21" s="12">
        <f>IF(ISNUMBER(H21), COUNTIFS($B$6:$B$71, B21, $H$6:$H$71, H21), 0)</f>
        <v>1</v>
      </c>
    </row>
    <row r="22">
      <c r="A22" s="14" t="n">
        <v>46415</v>
      </c>
      <c r="B22" s="12" t="inlineStr">
        <is>
          <t>Moshi Corrugators</t>
        </is>
      </c>
      <c r="C22" s="12" t="n">
        <v>2529</v>
      </c>
      <c r="D22" s="12" t="inlineStr">
        <is>
          <t>MC/26-27/235</t>
        </is>
      </c>
      <c r="E22" s="14" t="n">
        <v>46415</v>
      </c>
      <c r="F22" s="12" t="inlineStr">
        <is>
          <t>27YNLPL0717M1Z1</t>
        </is>
      </c>
      <c r="G22" s="12" t="inlineStr">
        <is>
          <t>Purchases – packing materials</t>
        </is>
      </c>
      <c r="H22" s="15" t="n">
        <v>85240</v>
      </c>
      <c r="I22" s="15" t="n">
        <v>2131</v>
      </c>
      <c r="J22" s="15" t="n">
        <v>2131</v>
      </c>
      <c r="M22" s="15" t="n">
        <v>89502</v>
      </c>
      <c r="N22" s="12" t="str">
        <f>VLOOKUP(F22, Vendors!$B$4:$H$18, 6, FALSE)</f>
        <v>Micro</v>
      </c>
      <c r="O22" s="12">
        <f>IF(ISNUMBER(H22), COUNTIFS($B$6:$B$71, B22, $H$6:$H$71, H22), 0)</f>
        <v>1</v>
      </c>
    </row>
    <row r="23">
      <c r="A23" s="14" t="n">
        <v>46415</v>
      </c>
      <c r="B23" s="12" t="inlineStr">
        <is>
          <t>Hebbal Tooling Solutions Private Limited</t>
        </is>
      </c>
      <c r="C23" s="12" t="n">
        <v>2532</v>
      </c>
      <c r="D23" s="12" t="inlineStr">
        <is>
          <t>HTS/26-27/0890</t>
        </is>
      </c>
      <c r="E23" s="14" t="n">
        <v>46412</v>
      </c>
      <c r="F23" s="12" t="inlineStr">
        <is>
          <t>29ZEMCH0865A1ZP</t>
        </is>
      </c>
      <c r="G23" s="12" t="inlineStr">
        <is>
          <t>Purchases – stores and consumables</t>
        </is>
      </c>
      <c r="H23" s="15" t="n">
        <v>346500</v>
      </c>
      <c r="K23" s="15" t="n">
        <v>62370</v>
      </c>
      <c r="M23" s="15" t="n">
        <v>408870</v>
      </c>
      <c r="N23" s="12" t="str">
        <f>VLOOKUP(F23, Vendors!$B$4:$H$18, 6, FALSE)</f>
        <v>–</v>
      </c>
      <c r="O23" s="12">
        <f>IF(ISNUMBER(H23), COUNTIFS($B$6:$B$71, B23, $H$6:$H$71, H23), 0)</f>
        <v>1</v>
      </c>
    </row>
    <row r="24">
      <c r="A24" s="14" t="n">
        <v>46416</v>
      </c>
      <c r="B24" s="12" t="inlineStr">
        <is>
          <t>Kolak Polypack Private Limited</t>
        </is>
      </c>
      <c r="C24" s="12" t="n">
        <v>2539</v>
      </c>
      <c r="D24" s="12" t="inlineStr">
        <is>
          <t>KP/26-27/1276</t>
        </is>
      </c>
      <c r="E24" s="14" t="n">
        <v>46414</v>
      </c>
      <c r="F24" s="12" t="inlineStr">
        <is>
          <t>24WGHCK4121C1Z7</t>
        </is>
      </c>
      <c r="G24" s="12" t="inlineStr">
        <is>
          <t>Purchases – packing materials</t>
        </is>
      </c>
      <c r="H24" s="15" t="n">
        <v>104000</v>
      </c>
      <c r="K24" s="15" t="n">
        <v>18720</v>
      </c>
      <c r="M24" s="15" t="n">
        <v>122720</v>
      </c>
      <c r="N24" s="12" t="str">
        <f>VLOOKUP(F24, Vendors!$B$4:$H$18, 6, FALSE)</f>
        <v>Small</v>
      </c>
      <c r="O24" s="12">
        <f>IF(ISNUMBER(H24), COUNTIFS($B$6:$B$71, B24, $H$6:$H$71, H24), 0)</f>
        <v>1</v>
      </c>
    </row>
    <row r="25">
      <c r="A25" s="14" t="n">
        <v>46420</v>
      </c>
      <c r="B25" s="12" t="inlineStr">
        <is>
          <t>Moshi Corrugators</t>
        </is>
      </c>
      <c r="C25" s="12" t="n">
        <v>2587</v>
      </c>
      <c r="D25" s="12" t="inlineStr">
        <is>
          <t>MC/26-27/240</t>
        </is>
      </c>
      <c r="E25" s="14" t="n">
        <v>46420</v>
      </c>
      <c r="F25" s="12" t="inlineStr">
        <is>
          <t>27YNLPL0717M1Z1</t>
        </is>
      </c>
      <c r="G25" s="12" t="inlineStr">
        <is>
          <t>Purchases – packing materials</t>
        </is>
      </c>
      <c r="H25" s="15" t="n">
        <v>81600</v>
      </c>
      <c r="I25" s="15" t="n">
        <v>2040</v>
      </c>
      <c r="J25" s="15" t="n">
        <v>2040</v>
      </c>
      <c r="M25" s="15" t="n">
        <v>85680</v>
      </c>
      <c r="N25" s="12" t="str">
        <f>VLOOKUP(F25, Vendors!$B$4:$H$18, 6, FALSE)</f>
        <v>Micro</v>
      </c>
      <c r="O25" s="12">
        <f>IF(ISNUMBER(H25), COUNTIFS($B$6:$B$71, B25, $H$6:$H$71, H25), 0)</f>
        <v>1</v>
      </c>
    </row>
    <row r="26">
      <c r="A26" s="14" t="n">
        <v>46422</v>
      </c>
      <c r="B26" s="12" t="inlineStr">
        <is>
          <t>Hebbal Tooling Solutions Private Limited</t>
        </is>
      </c>
      <c r="C26" s="12" t="n">
        <v>2607</v>
      </c>
      <c r="D26" s="12" t="inlineStr">
        <is>
          <t>HTS/26-27/0896</t>
        </is>
      </c>
      <c r="E26" s="14" t="n">
        <v>46419</v>
      </c>
      <c r="F26" s="12" t="inlineStr">
        <is>
          <t>29ZEMCH0865A1ZP</t>
        </is>
      </c>
      <c r="G26" s="12" t="inlineStr">
        <is>
          <t>Purchases – stores and consumables</t>
        </is>
      </c>
      <c r="H26" s="15" t="n">
        <v>341000</v>
      </c>
      <c r="K26" s="15" t="n">
        <v>61380</v>
      </c>
      <c r="M26" s="15" t="n">
        <v>402380</v>
      </c>
      <c r="N26" s="12" t="str">
        <f>VLOOKUP(F26, Vendors!$B$4:$H$18, 6, FALSE)</f>
        <v>–</v>
      </c>
      <c r="O26" s="12">
        <f>IF(ISNUMBER(H26), COUNTIFS($B$6:$B$71, B26, $H$6:$H$71, H26), 0)</f>
        <v>2</v>
      </c>
    </row>
    <row r="27">
      <c r="B27" s="12" t="inlineStr">
        <is>
          <t>Carried Over</t>
        </is>
      </c>
      <c r="H27" s="15" t="n">
        <v>3882600</v>
      </c>
      <c r="I27" s="15" t="n">
        <v>115105</v>
      </c>
      <c r="J27" s="15" t="n">
        <v>115105</v>
      </c>
      <c r="K27" s="15" t="n">
        <v>361980</v>
      </c>
      <c r="M27" s="15" t="n">
        <v>4474790</v>
      </c>
      <c r="N27" s="12" t="e">
        <f>VLOOKUP(F27, Vendors!$B$4:$H$18, 6, FALSE)</f>
        <v>#N/A</v>
      </c>
      <c r="O27" s="12">
        <f>IF(ISNUMBER(H27), COUNTIFS($B$6:$B$71, B27, $H$6:$H$71, H27), 0)</f>
        <v>1</v>
      </c>
    </row>
    <row r="28">
      <c r="B28" s="12" t="inlineStr">
        <is>
          <t>Purchase Register · Page 2</t>
        </is>
      </c>
      <c r="N28" s="12" t="e">
        <f>VLOOKUP(F28, Vendors!$B$4:$H$18, 6, FALSE)</f>
        <v>#N/A</v>
      </c>
      <c r="O28" s="12">
        <f>IF(ISNUMBER(H28), COUNTIFS($B$6:$B$71, B28, $H$6:$H$71, H28), 0)</f>
        <v>0</v>
      </c>
    </row>
    <row r="29">
      <c r="A29" s="13" t="inlineStr">
        <is>
          <t>Date</t>
        </is>
      </c>
      <c r="B29" s="13" t="inlineStr">
        <is>
          <t>Particulars</t>
        </is>
      </c>
      <c r="C29" s="13" t="inlineStr">
        <is>
          <t>Vch No.</t>
        </is>
      </c>
      <c r="D29" s="13" t="inlineStr">
        <is>
          <t>Supplier Inv No.</t>
        </is>
      </c>
      <c r="E29" s="13" t="inlineStr">
        <is>
          <t>Supplier Inv Date</t>
        </is>
      </c>
      <c r="F29" s="13" t="inlineStr">
        <is>
          <t>GSTIN/UIN</t>
        </is>
      </c>
      <c r="G29" s="13" t="inlineStr">
        <is>
          <t>Purchase Ledger</t>
        </is>
      </c>
      <c r="H29" s="13" t="inlineStr">
        <is>
          <t>Taxable Value</t>
        </is>
      </c>
      <c r="I29" s="13" t="inlineStr">
        <is>
          <t>CGST</t>
        </is>
      </c>
      <c r="J29" s="13" t="inlineStr">
        <is>
          <t>SGST</t>
        </is>
      </c>
      <c r="K29" s="13" t="inlineStr">
        <is>
          <t>IGST</t>
        </is>
      </c>
      <c r="L29" s="13" t="inlineStr">
        <is>
          <t>Round Off</t>
        </is>
      </c>
      <c r="M29" s="13" t="inlineStr">
        <is>
          <t>Gross Total</t>
        </is>
      </c>
      <c r="N29" s="12" t="e">
        <f>VLOOKUP(F29, Vendors!$B$4:$H$18, 6, FALSE)</f>
        <v>#N/A</v>
      </c>
      <c r="O29" s="12">
        <f>IF(ISNUMBER(H29), COUNTIFS($B$6:$B$71, B29, $H$6:$H$71, H29), 0)</f>
        <v>0</v>
      </c>
    </row>
    <row r="30">
      <c r="B30" s="12" t="inlineStr">
        <is>
          <t>Brought Forward</t>
        </is>
      </c>
      <c r="H30" s="15" t="n">
        <v>3882600</v>
      </c>
      <c r="I30" s="15" t="n">
        <v>115105</v>
      </c>
      <c r="J30" s="15" t="n">
        <v>115105</v>
      </c>
      <c r="K30" s="15" t="n">
        <v>361980</v>
      </c>
      <c r="M30" s="15" t="n">
        <v>4474790</v>
      </c>
      <c r="N30" s="12" t="e">
        <f>VLOOKUP(F30, Vendors!$B$4:$H$18, 6, FALSE)</f>
        <v>#N/A</v>
      </c>
      <c r="O30" s="12">
        <f>IF(ISNUMBER(H30), COUNTIFS($B$6:$B$71, B30, $H$6:$H$71, H30), 0)</f>
        <v>1</v>
      </c>
    </row>
    <row r="31">
      <c r="A31" s="14" t="n">
        <v>46422</v>
      </c>
      <c r="B31" s="12" t="inlineStr">
        <is>
          <t>Hebbal Tooling Solutions Private Limited</t>
        </is>
      </c>
      <c r="C31" s="12" t="n">
        <v>2607</v>
      </c>
      <c r="D31" s="12" t="inlineStr">
        <is>
          <t>HTS/26-27/0896</t>
        </is>
      </c>
      <c r="E31" s="14" t="n">
        <v>46419</v>
      </c>
      <c r="F31" s="12" t="inlineStr">
        <is>
          <t>29ZEMCH0865A1ZP</t>
        </is>
      </c>
      <c r="G31" s="12" t="inlineStr">
        <is>
          <t>Purchases – stores and consumables</t>
        </is>
      </c>
      <c r="H31" s="15" t="n">
        <v>341000</v>
      </c>
      <c r="K31" s="15" t="n">
        <v>61380</v>
      </c>
      <c r="M31" s="15" t="n">
        <v>402380</v>
      </c>
      <c r="N31" s="12" t="str">
        <f>VLOOKUP(F31, Vendors!$B$4:$H$18, 6, FALSE)</f>
        <v>–</v>
      </c>
      <c r="O31" s="12">
        <f>IF(ISNUMBER(H31), COUNTIFS($B$6:$B$71, B31, $H$6:$H$71, H31), 0)</f>
        <v>2</v>
      </c>
    </row>
    <row r="32">
      <c r="A32" s="14" t="n">
        <v>46423</v>
      </c>
      <c r="B32" s="12" t="inlineStr">
        <is>
          <t>Kolak Polypack Private Limited</t>
        </is>
      </c>
      <c r="C32" s="12" t="n">
        <v>2615</v>
      </c>
      <c r="D32" s="12" t="inlineStr">
        <is>
          <t>KP/26-27/1288</t>
        </is>
      </c>
      <c r="E32" s="14" t="n">
        <v>46421</v>
      </c>
      <c r="F32" s="12" t="inlineStr">
        <is>
          <t>24WGHCK4121C1Z7</t>
        </is>
      </c>
      <c r="G32" s="12" t="inlineStr">
        <is>
          <t>Purchases – packing materials</t>
        </is>
      </c>
      <c r="H32" s="15" t="n">
        <v>132000</v>
      </c>
      <c r="K32" s="15" t="n">
        <v>23760</v>
      </c>
      <c r="M32" s="15" t="n">
        <v>155760</v>
      </c>
      <c r="N32" s="12" t="str">
        <f>VLOOKUP(F32, Vendors!$B$4:$H$18, 6, FALSE)</f>
        <v>Small</v>
      </c>
      <c r="O32" s="12">
        <f>IF(ISNUMBER(H32), COUNTIFS($B$6:$B$71, B32, $H$6:$H$71, H32), 0)</f>
        <v>1</v>
      </c>
    </row>
    <row r="33">
      <c r="A33" s="14" t="n">
        <v>46424</v>
      </c>
      <c r="B33" s="12" t="inlineStr">
        <is>
          <t>Moshi Corrugators</t>
        </is>
      </c>
      <c r="C33" s="12" t="n">
        <v>2628</v>
      </c>
      <c r="D33" s="12" t="inlineStr">
        <is>
          <t>MC/26-27/243</t>
        </is>
      </c>
      <c r="E33" s="14" t="n">
        <v>46424</v>
      </c>
      <c r="F33" s="12" t="inlineStr">
        <is>
          <t>27YNLPL0717M1Z1</t>
        </is>
      </c>
      <c r="G33" s="12" t="inlineStr">
        <is>
          <t>Purchases – packing materials</t>
        </is>
      </c>
      <c r="H33" s="15" t="n">
        <v>90240</v>
      </c>
      <c r="I33" s="15" t="n">
        <v>2256</v>
      </c>
      <c r="J33" s="15" t="n">
        <v>2256</v>
      </c>
      <c r="M33" s="15" t="n">
        <v>94752</v>
      </c>
      <c r="N33" s="12" t="str">
        <f>VLOOKUP(F33, Vendors!$B$4:$H$18, 6, FALSE)</f>
        <v>Micro</v>
      </c>
      <c r="O33" s="12">
        <f>IF(ISNUMBER(H33), COUNTIFS($B$6:$B$71, B33, $H$6:$H$71, H33), 0)</f>
        <v>1</v>
      </c>
    </row>
    <row r="34">
      <c r="A34" s="14" t="n">
        <v>46427</v>
      </c>
      <c r="B34" s="12" t="inlineStr">
        <is>
          <t>Mundhwa Lubricants and Chemicals</t>
        </is>
      </c>
      <c r="C34" s="12" t="n">
        <v>2662</v>
      </c>
      <c r="D34" s="12" t="inlineStr">
        <is>
          <t>MLC/26-27/1311</t>
        </is>
      </c>
      <c r="E34" s="14" t="n">
        <v>46427</v>
      </c>
      <c r="F34" s="12" t="inlineStr">
        <is>
          <t>27WHQFM7542F1ZX</t>
        </is>
      </c>
      <c r="G34" s="12" t="inlineStr">
        <is>
          <t>Purchases – stores and consumables</t>
        </is>
      </c>
      <c r="H34" s="15" t="n">
        <v>460200</v>
      </c>
      <c r="I34" s="15" t="n">
        <v>41418</v>
      </c>
      <c r="J34" s="15" t="n">
        <v>41418</v>
      </c>
      <c r="M34" s="15" t="n">
        <v>543036</v>
      </c>
      <c r="N34" s="12" t="str">
        <f>VLOOKUP(F34, Vendors!$B$4:$H$18, 6, FALSE)</f>
        <v>–</v>
      </c>
      <c r="O34" s="12">
        <f>IF(ISNUMBER(H34), COUNTIFS($B$6:$B$71, B34, $H$6:$H$71, H34), 0)</f>
        <v>1</v>
      </c>
    </row>
    <row r="35">
      <c r="A35" s="14" t="n">
        <v>46428</v>
      </c>
      <c r="B35" s="12" t="inlineStr">
        <is>
          <t>Alandi Paper Products</t>
        </is>
      </c>
      <c r="C35" s="12" t="n">
        <v>2670</v>
      </c>
      <c r="D35" s="12" t="inlineStr">
        <is>
          <t>APP/26-27/0158</t>
        </is>
      </c>
      <c r="E35" s="14" t="n">
        <v>46428</v>
      </c>
      <c r="F35" s="12" t="inlineStr">
        <is>
          <t>27ZDLPK9230K1ZG</t>
        </is>
      </c>
      <c r="G35" s="12" t="inlineStr">
        <is>
          <t>Purchases – packing materials</t>
        </is>
      </c>
      <c r="H35" s="15" t="n">
        <v>250000</v>
      </c>
      <c r="I35" s="15" t="n">
        <v>6250</v>
      </c>
      <c r="J35" s="15" t="n">
        <v>6250</v>
      </c>
      <c r="M35" s="15" t="n">
        <v>262500</v>
      </c>
      <c r="N35" s="12" t="str">
        <f>VLOOKUP(F35, Vendors!$B$4:$H$18, 6, FALSE)</f>
        <v>Micro</v>
      </c>
      <c r="O35" s="12">
        <f>IF(ISNUMBER(H35), COUNTIFS($B$6:$B$71, B35, $H$6:$H$71, H35), 0)</f>
        <v>1</v>
      </c>
    </row>
    <row r="36">
      <c r="A36" s="14" t="n">
        <v>46429</v>
      </c>
      <c r="B36" s="12" t="inlineStr">
        <is>
          <t>Moshi Corrugators</t>
        </is>
      </c>
      <c r="C36" s="12" t="n">
        <v>2683</v>
      </c>
      <c r="D36" s="12" t="inlineStr">
        <is>
          <t>MC/26-27/247</t>
        </is>
      </c>
      <c r="E36" s="14" t="n">
        <v>46429</v>
      </c>
      <c r="F36" s="12" t="inlineStr">
        <is>
          <t>27YNLPL0717M1Z1</t>
        </is>
      </c>
      <c r="G36" s="12" t="inlineStr">
        <is>
          <t>Purchases – packing materials</t>
        </is>
      </c>
      <c r="H36" s="15" t="n">
        <v>78720</v>
      </c>
      <c r="I36" s="15" t="n">
        <v>1968</v>
      </c>
      <c r="J36" s="15" t="n">
        <v>1968</v>
      </c>
      <c r="M36" s="15" t="n">
        <v>82656</v>
      </c>
      <c r="N36" s="12" t="str">
        <f>VLOOKUP(F36, Vendors!$B$4:$H$18, 6, FALSE)</f>
        <v>Micro</v>
      </c>
      <c r="O36" s="12">
        <f>IF(ISNUMBER(H36), COUNTIFS($B$6:$B$71, B36, $H$6:$H$71, H36), 0)</f>
        <v>1</v>
      </c>
    </row>
    <row r="37">
      <c r="A37" s="14" t="n">
        <v>46429</v>
      </c>
      <c r="B37" s="12" t="inlineStr">
        <is>
          <t>Hebbal Tooling Solutions Private Limited</t>
        </is>
      </c>
      <c r="C37" s="12" t="n">
        <v>2686</v>
      </c>
      <c r="D37" s="12" t="inlineStr">
        <is>
          <t>HTS/26-27/0902</t>
        </is>
      </c>
      <c r="E37" s="14" t="n">
        <v>46426</v>
      </c>
      <c r="F37" s="12" t="inlineStr">
        <is>
          <t>29ZEMCH0865A1ZP</t>
        </is>
      </c>
      <c r="G37" s="12" t="inlineStr">
        <is>
          <t>Purchases – stores and consumables</t>
        </is>
      </c>
      <c r="H37" s="15" t="n">
        <v>318500</v>
      </c>
      <c r="K37" s="15" t="n">
        <v>57330</v>
      </c>
      <c r="M37" s="15" t="n">
        <v>375830</v>
      </c>
      <c r="N37" s="12" t="str">
        <f>VLOOKUP(F37, Vendors!$B$4:$H$18, 6, FALSE)</f>
        <v>–</v>
      </c>
      <c r="O37" s="12">
        <f>IF(ISNUMBER(H37), COUNTIFS($B$6:$B$71, B37, $H$6:$H$71, H37), 0)</f>
        <v>1</v>
      </c>
    </row>
    <row r="38">
      <c r="A38" s="14" t="n">
        <v>46434</v>
      </c>
      <c r="B38" s="12" t="inlineStr">
        <is>
          <t>Moshi Corrugators</t>
        </is>
      </c>
      <c r="C38" s="12" t="n">
        <v>2737</v>
      </c>
      <c r="D38" s="12" t="inlineStr">
        <is>
          <t>MC/26-27/251</t>
        </is>
      </c>
      <c r="E38" s="14" t="n">
        <v>46434</v>
      </c>
      <c r="F38" s="12" t="inlineStr">
        <is>
          <t>27YNLPL0717M1Z1</t>
        </is>
      </c>
      <c r="G38" s="12" t="inlineStr">
        <is>
          <t>Purchases – packing materials</t>
        </is>
      </c>
      <c r="H38" s="15" t="n">
        <v>88320</v>
      </c>
      <c r="I38" s="15" t="n">
        <v>2208</v>
      </c>
      <c r="J38" s="15" t="n">
        <v>2208</v>
      </c>
      <c r="M38" s="15" t="n">
        <v>92736</v>
      </c>
      <c r="N38" s="12" t="str">
        <f>VLOOKUP(F38, Vendors!$B$4:$H$18, 6, FALSE)</f>
        <v>Micro</v>
      </c>
      <c r="O38" s="12">
        <f>IF(ISNUMBER(H38), COUNTIFS($B$6:$B$71, B38, $H$6:$H$71, H38), 0)</f>
        <v>1</v>
      </c>
    </row>
    <row r="39">
      <c r="A39" s="14" t="n">
        <v>46436</v>
      </c>
      <c r="B39" s="12" t="inlineStr">
        <is>
          <t>Kolak Polypack Private Limited</t>
        </is>
      </c>
      <c r="C39" s="12" t="n">
        <v>2758</v>
      </c>
      <c r="D39" s="12" t="inlineStr">
        <is>
          <t>KP/26-27/1301</t>
        </is>
      </c>
      <c r="E39" s="14" t="n">
        <v>46433</v>
      </c>
      <c r="F39" s="12" t="inlineStr">
        <is>
          <t>24WGHCK4121C1Z7</t>
        </is>
      </c>
      <c r="G39" s="12" t="inlineStr">
        <is>
          <t>Purchases – packing materials</t>
        </is>
      </c>
      <c r="H39" s="12" t="inlineStr">
        <is>
          <t>138500.00</t>
        </is>
      </c>
      <c r="K39" s="12" t="inlineStr">
        <is>
          <t>24930.00</t>
        </is>
      </c>
      <c r="M39" s="12" t="inlineStr">
        <is>
          <t>163430.00</t>
        </is>
      </c>
      <c r="N39" s="12" t="str">
        <f>VLOOKUP(F39, Vendors!$B$4:$H$18, 6, FALSE)</f>
        <v>Small</v>
      </c>
      <c r="O39" s="12">
        <f>IF(ISNUMBER(H39), COUNTIFS($B$6:$B$71, B39, $H$6:$H$71, H39), 0)</f>
        <v>0</v>
      </c>
    </row>
    <row r="40">
      <c r="A40" s="14" t="n">
        <v>46436</v>
      </c>
      <c r="B40" s="12" t="inlineStr">
        <is>
          <t>Mundhwa Lubricants and Chemicals</t>
        </is>
      </c>
      <c r="C40" s="12" t="n">
        <v>2761</v>
      </c>
      <c r="D40" s="12" t="inlineStr">
        <is>
          <t>MLC/26-27/1347</t>
        </is>
      </c>
      <c r="E40" s="14" t="n">
        <v>46436</v>
      </c>
      <c r="F40" s="12" t="inlineStr">
        <is>
          <t>27WHQFM7542F1ZX</t>
        </is>
      </c>
      <c r="G40" s="12" t="inlineStr">
        <is>
          <t>Purchases – stores and consumables</t>
        </is>
      </c>
      <c r="H40" s="15" t="n">
        <v>378000</v>
      </c>
      <c r="I40" s="15" t="n">
        <v>34020</v>
      </c>
      <c r="J40" s="15" t="n">
        <v>34020</v>
      </c>
      <c r="M40" s="15" t="n">
        <v>446040</v>
      </c>
      <c r="N40" s="12" t="str">
        <f>VLOOKUP(F40, Vendors!$B$4:$H$18, 6, FALSE)</f>
        <v>–</v>
      </c>
      <c r="O40" s="12">
        <f>IF(ISNUMBER(H40), COUNTIFS($B$6:$B$71, B40, $H$6:$H$71, H40), 0)</f>
        <v>1</v>
      </c>
    </row>
    <row r="41">
      <c r="A41" s="14" t="n">
        <v>46436</v>
      </c>
      <c r="B41" s="12" t="inlineStr">
        <is>
          <t>(cancelled)</t>
        </is>
      </c>
      <c r="C41" s="12" t="n">
        <v>2762</v>
      </c>
      <c r="N41" s="12" t="e">
        <f>VLOOKUP(F41, Vendors!$B$4:$H$18, 6, FALSE)</f>
        <v>#N/A</v>
      </c>
      <c r="O41" s="12">
        <f>IF(ISNUMBER(H41), COUNTIFS($B$6:$B$71, B41, $H$6:$H$71, H41), 0)</f>
        <v>0</v>
      </c>
    </row>
    <row r="42">
      <c r="A42" s="14" t="n">
        <v>46436</v>
      </c>
      <c r="B42" s="12" t="inlineStr">
        <is>
          <t>Hebbal Tooling Solutions Private Limited</t>
        </is>
      </c>
      <c r="C42" s="12" t="n">
        <v>2764</v>
      </c>
      <c r="D42" s="12" t="inlineStr">
        <is>
          <t>HTS/26-27/0907</t>
        </is>
      </c>
      <c r="E42" s="14" t="n">
        <v>46433</v>
      </c>
      <c r="F42" s="12" t="inlineStr">
        <is>
          <t>29ZEMCH0865A1ZP</t>
        </is>
      </c>
      <c r="G42" s="12" t="inlineStr">
        <is>
          <t>Purchases – stores and consumables</t>
        </is>
      </c>
      <c r="H42" s="15" t="n">
        <v>332000</v>
      </c>
      <c r="K42" s="15" t="n">
        <v>59760</v>
      </c>
      <c r="M42" s="15" t="n">
        <v>391760</v>
      </c>
      <c r="N42" s="12" t="str">
        <f>VLOOKUP(F42, Vendors!$B$4:$H$18, 6, FALSE)</f>
        <v>–</v>
      </c>
      <c r="O42" s="12">
        <f>IF(ISNUMBER(H42), COUNTIFS($B$6:$B$71, B42, $H$6:$H$71, H42), 0)</f>
        <v>1</v>
      </c>
    </row>
    <row r="43">
      <c r="A43" s="14" t="n">
        <v>46440</v>
      </c>
      <c r="B43" s="12" t="inlineStr">
        <is>
          <t>Moshi Corrugators</t>
        </is>
      </c>
      <c r="C43" s="12" t="n">
        <v>2804</v>
      </c>
      <c r="D43" s="12" t="inlineStr">
        <is>
          <t>MC/26-27/256</t>
        </is>
      </c>
      <c r="E43" s="14" t="n">
        <v>46440</v>
      </c>
      <c r="F43" s="12" t="inlineStr">
        <is>
          <t>27YNLPL0717M1Z1</t>
        </is>
      </c>
      <c r="G43" s="12" t="inlineStr">
        <is>
          <t>Purchases – packing materials</t>
        </is>
      </c>
      <c r="H43" s="15" t="n">
        <v>83520</v>
      </c>
      <c r="I43" s="15" t="n">
        <v>2088</v>
      </c>
      <c r="J43" s="15" t="n">
        <v>2088</v>
      </c>
      <c r="M43" s="15" t="n">
        <v>87696</v>
      </c>
      <c r="N43" s="12" t="str">
        <f>VLOOKUP(F43, Vendors!$B$4:$H$18, 6, FALSE)</f>
        <v>Micro</v>
      </c>
      <c r="O43" s="12">
        <f>IF(ISNUMBER(H43), COUNTIFS($B$6:$B$71, B43, $H$6:$H$71, H43), 0)</f>
        <v>1</v>
      </c>
    </row>
    <row r="44">
      <c r="A44" s="14" t="n">
        <v>46441</v>
      </c>
      <c r="B44" s="12" t="inlineStr">
        <is>
          <t>Hebbal Tooling Solutions Private Limited</t>
        </is>
      </c>
      <c r="C44" s="12" t="n">
        <v>2812</v>
      </c>
      <c r="D44" s="12" t="inlineStr">
        <is>
          <t>HTS/26-27/0912</t>
        </is>
      </c>
      <c r="E44" s="14" t="n">
        <v>46438</v>
      </c>
      <c r="F44" s="12" t="inlineStr">
        <is>
          <t>29ZEMCH0865A1ZP</t>
        </is>
      </c>
      <c r="G44" s="12" t="inlineStr">
        <is>
          <t>Purchases – stores and consumables</t>
        </is>
      </c>
      <c r="H44" s="15" t="n">
        <v>323500</v>
      </c>
      <c r="K44" s="15" t="n">
        <v>58230</v>
      </c>
      <c r="M44" s="15" t="n">
        <v>381730</v>
      </c>
      <c r="N44" s="12" t="str">
        <f>VLOOKUP(F44, Vendors!$B$4:$H$18, 6, FALSE)</f>
        <v>–</v>
      </c>
      <c r="O44" s="12">
        <f>IF(ISNUMBER(H44), COUNTIFS($B$6:$B$71, B44, $H$6:$H$71, H44), 0)</f>
        <v>1</v>
      </c>
    </row>
    <row r="45">
      <c r="A45" s="14" t="n">
        <v>46443</v>
      </c>
      <c r="B45" s="12" t="inlineStr">
        <is>
          <t>Mundhwa Lubricants and Chemicals</t>
        </is>
      </c>
      <c r="C45" s="12" t="n">
        <v>2833</v>
      </c>
      <c r="D45" s="12" t="inlineStr">
        <is>
          <t>MLC/26-27/1372</t>
        </is>
      </c>
      <c r="E45" s="14" t="n">
        <v>46443</v>
      </c>
      <c r="F45" s="12" t="inlineStr">
        <is>
          <t>27WHQFM7542F1ZX</t>
        </is>
      </c>
      <c r="G45" s="12" t="inlineStr">
        <is>
          <t>Purchases – stores and consumables</t>
        </is>
      </c>
      <c r="H45" s="15" t="n">
        <v>237800</v>
      </c>
      <c r="I45" s="15" t="n">
        <v>21402</v>
      </c>
      <c r="J45" s="15" t="n">
        <v>21402</v>
      </c>
      <c r="M45" s="15" t="n">
        <v>280604</v>
      </c>
      <c r="N45" s="12" t="str">
        <f>VLOOKUP(F45, Vendors!$B$4:$H$18, 6, FALSE)</f>
        <v>–</v>
      </c>
      <c r="O45" s="12">
        <f>IF(ISNUMBER(H45), COUNTIFS($B$6:$B$71, B45, $H$6:$H$71, H45), 0)</f>
        <v>1</v>
      </c>
    </row>
    <row r="46">
      <c r="A46" s="14" t="n">
        <v>46444</v>
      </c>
      <c r="B46" s="12" t="inlineStr">
        <is>
          <t>Moshi Corrugators</t>
        </is>
      </c>
      <c r="C46" s="12" t="n">
        <v>2846</v>
      </c>
      <c r="D46" s="12" t="inlineStr">
        <is>
          <t>MC/26-27/260</t>
        </is>
      </c>
      <c r="E46" s="14" t="n">
        <v>46444</v>
      </c>
      <c r="F46" s="12" t="inlineStr">
        <is>
          <t>27YNLPL0717M1Z1</t>
        </is>
      </c>
      <c r="G46" s="12" t="inlineStr">
        <is>
          <t>Purchases – packing materials</t>
        </is>
      </c>
      <c r="H46" s="15" t="n">
        <v>84600</v>
      </c>
      <c r="I46" s="15" t="n">
        <v>2115</v>
      </c>
      <c r="J46" s="15" t="n">
        <v>2115</v>
      </c>
      <c r="M46" s="15" t="n">
        <v>88830</v>
      </c>
      <c r="N46" s="12" t="str">
        <f>VLOOKUP(F46, Vendors!$B$4:$H$18, 6, FALSE)</f>
        <v>Micro</v>
      </c>
      <c r="O46" s="12">
        <f>IF(ISNUMBER(H46), COUNTIFS($B$6:$B$71, B46, $H$6:$H$71, H46), 0)</f>
        <v>1</v>
      </c>
    </row>
    <row r="47">
      <c r="A47" s="14" t="n">
        <v>46444</v>
      </c>
      <c r="B47" s="12" t="inlineStr">
        <is>
          <t>Kolak Polypack Private Limited</t>
        </is>
      </c>
      <c r="C47" s="12" t="n">
        <v>2849</v>
      </c>
      <c r="D47" s="12" t="inlineStr">
        <is>
          <t>KP/26-27/1317</t>
        </is>
      </c>
      <c r="E47" s="14" t="n">
        <v>46442</v>
      </c>
      <c r="F47" s="12" t="inlineStr">
        <is>
          <t>24WGHCK4121C1Z7</t>
        </is>
      </c>
      <c r="G47" s="12" t="inlineStr">
        <is>
          <t>Purchases – packing materials</t>
        </is>
      </c>
      <c r="H47" s="15" t="n">
        <v>125500</v>
      </c>
      <c r="K47" s="15" t="n">
        <v>22590</v>
      </c>
      <c r="M47" s="15" t="n">
        <v>148090</v>
      </c>
      <c r="N47" s="12" t="str">
        <f>VLOOKUP(F47, Vendors!$B$4:$H$18, 6, FALSE)</f>
        <v>Small</v>
      </c>
      <c r="O47" s="12">
        <f>IF(ISNUMBER(H47), COUNTIFS($B$6:$B$71, B47, $H$6:$H$71, H47), 0)</f>
        <v>1</v>
      </c>
    </row>
    <row r="48">
      <c r="A48" s="14" t="n">
        <v>46448</v>
      </c>
      <c r="B48" s="12" t="inlineStr">
        <is>
          <t>Moshi Corrugators</t>
        </is>
      </c>
      <c r="C48" s="12" t="n">
        <v>2892</v>
      </c>
      <c r="D48" s="12" t="inlineStr">
        <is>
          <t>MC/26-27/264</t>
        </is>
      </c>
      <c r="E48" s="14" t="n">
        <v>46448</v>
      </c>
      <c r="F48" s="12" t="inlineStr">
        <is>
          <t>27YNLPL0717M1Z1</t>
        </is>
      </c>
      <c r="G48" s="12" t="inlineStr">
        <is>
          <t>Purchases – packing materials</t>
        </is>
      </c>
      <c r="H48" s="15" t="n">
        <v>88800</v>
      </c>
      <c r="I48" s="15" t="n">
        <v>2220</v>
      </c>
      <c r="J48" s="15" t="n">
        <v>2220</v>
      </c>
      <c r="M48" s="15" t="n">
        <v>93240</v>
      </c>
      <c r="N48" s="12" t="str">
        <f>VLOOKUP(F48, Vendors!$B$4:$H$18, 6, FALSE)</f>
        <v>Micro</v>
      </c>
      <c r="O48" s="12">
        <f>IF(ISNUMBER(H48), COUNTIFS($B$6:$B$71, B48, $H$6:$H$71, H48), 0)</f>
        <v>1</v>
      </c>
    </row>
    <row r="49">
      <c r="A49" s="14" t="n">
        <v>46450</v>
      </c>
      <c r="B49" s="12" t="inlineStr">
        <is>
          <t>Hebbal Tooling Solutions Private Limited</t>
        </is>
      </c>
      <c r="C49" s="12" t="n">
        <v>2912</v>
      </c>
      <c r="D49" s="12" t="inlineStr">
        <is>
          <t>HTS/26-27/0917</t>
        </is>
      </c>
      <c r="E49" s="14" t="n">
        <v>46444</v>
      </c>
      <c r="F49" s="12" t="inlineStr">
        <is>
          <t>29ZEMCH0865A1ZP</t>
        </is>
      </c>
      <c r="G49" s="12" t="inlineStr">
        <is>
          <t>Purchases – stores and consumables</t>
        </is>
      </c>
      <c r="H49" s="15" t="n">
        <v>320000</v>
      </c>
      <c r="K49" s="15" t="n">
        <v>57600</v>
      </c>
      <c r="M49" s="15" t="n">
        <v>377600</v>
      </c>
      <c r="N49" s="12" t="str">
        <f>VLOOKUP(F49, Vendors!$B$4:$H$18, 6, FALSE)</f>
        <v>–</v>
      </c>
      <c r="O49" s="12">
        <f>IF(ISNUMBER(H49), COUNTIFS($B$6:$B$71, B49, $H$6:$H$71, H49), 0)</f>
        <v>1</v>
      </c>
    </row>
    <row r="50">
      <c r="B50" s="12" t="inlineStr">
        <is>
          <t>(Recd 4-3-2027 vide GRN-2027-03-0052, LR 22184)</t>
        </is>
      </c>
      <c r="N50" s="12" t="e">
        <f>VLOOKUP(F50, Vendors!$B$4:$H$18, 6, FALSE)</f>
        <v>#N/A</v>
      </c>
      <c r="O50" s="12">
        <f>IF(ISNUMBER(H50), COUNTIFS($B$6:$B$71, B50, $H$6:$H$71, H50), 0)</f>
        <v>0</v>
      </c>
    </row>
    <row r="51">
      <c r="A51" s="14" t="n">
        <v>46451</v>
      </c>
      <c r="B51" s="12" t="inlineStr">
        <is>
          <t>Moshi Corrugators</t>
        </is>
      </c>
      <c r="C51" s="12" t="n">
        <v>2920</v>
      </c>
      <c r="D51" s="12" t="inlineStr">
        <is>
          <t>MC/26-27/266</t>
        </is>
      </c>
      <c r="E51" s="14" t="n">
        <v>46451</v>
      </c>
      <c r="F51" s="12" t="inlineStr">
        <is>
          <t>27YNLPL0717M1Z1</t>
        </is>
      </c>
      <c r="G51" s="12" t="inlineStr">
        <is>
          <t>Purchases – packing materials</t>
        </is>
      </c>
      <c r="H51" s="15" t="n">
        <v>93600</v>
      </c>
      <c r="I51" s="15" t="n">
        <v>2340</v>
      </c>
      <c r="J51" s="15" t="n">
        <v>2340</v>
      </c>
      <c r="M51" s="15" t="n">
        <v>98280</v>
      </c>
      <c r="N51" s="12" t="str">
        <f>VLOOKUP(F51, Vendors!$B$4:$H$18, 6, FALSE)</f>
        <v>Micro</v>
      </c>
      <c r="O51" s="12">
        <f>IF(ISNUMBER(H51), COUNTIFS($B$6:$B$71, B51, $H$6:$H$71, H51), 0)</f>
        <v>1</v>
      </c>
    </row>
    <row r="52">
      <c r="A52" s="14" t="n">
        <v>46454</v>
      </c>
      <c r="B52" s="12" t="inlineStr">
        <is>
          <t>Mundhwa Lubricants and Chemicals</t>
        </is>
      </c>
      <c r="C52" s="12" t="n">
        <v>2954</v>
      </c>
      <c r="D52" s="12" t="inlineStr">
        <is>
          <t>MLC/26-27/1391</t>
        </is>
      </c>
      <c r="E52" s="14" t="n">
        <v>46454</v>
      </c>
      <c r="F52" s="12" t="inlineStr">
        <is>
          <t>27WHQFM7542F1ZX</t>
        </is>
      </c>
      <c r="G52" s="12" t="inlineStr">
        <is>
          <t>Purchases – stores and consumables</t>
        </is>
      </c>
      <c r="H52" s="15" t="n">
        <v>426300</v>
      </c>
      <c r="I52" s="15" t="n">
        <v>38367</v>
      </c>
      <c r="J52" s="15" t="n">
        <v>38367</v>
      </c>
      <c r="M52" s="15" t="n">
        <v>503034</v>
      </c>
      <c r="N52" s="12" t="str">
        <f>VLOOKUP(F52, Vendors!$B$4:$H$18, 6, FALSE)</f>
        <v>–</v>
      </c>
      <c r="O52" s="12">
        <f>IF(ISNUMBER(H52), COUNTIFS($B$6:$B$71, B52, $H$6:$H$71, H52), 0)</f>
        <v>1</v>
      </c>
    </row>
    <row r="53">
      <c r="B53" s="12" t="inlineStr">
        <is>
          <t>Carried Over</t>
        </is>
      </c>
      <c r="H53" s="15" t="n">
        <v>7932700</v>
      </c>
      <c r="I53" s="15" t="n">
        <v>271757</v>
      </c>
      <c r="J53" s="15" t="n">
        <v>271757</v>
      </c>
      <c r="K53" s="15" t="n">
        <v>666180</v>
      </c>
      <c r="M53" s="15" t="n">
        <v>9142394</v>
      </c>
      <c r="N53" s="12" t="e">
        <f>VLOOKUP(F53, Vendors!$B$4:$H$18, 6, FALSE)</f>
        <v>#N/A</v>
      </c>
      <c r="O53" s="12">
        <f>IF(ISNUMBER(H53), COUNTIFS($B$6:$B$71, B53, $H$6:$H$71, H53), 0)</f>
        <v>1</v>
      </c>
    </row>
    <row r="54">
      <c r="B54" s="12" t="inlineStr">
        <is>
          <t>Purchase Register · Page 3</t>
        </is>
      </c>
      <c r="N54" s="12" t="e">
        <f>VLOOKUP(F54, Vendors!$B$4:$H$18, 6, FALSE)</f>
        <v>#N/A</v>
      </c>
      <c r="O54" s="12">
        <f>IF(ISNUMBER(H54), COUNTIFS($B$6:$B$71, B54, $H$6:$H$71, H54), 0)</f>
        <v>0</v>
      </c>
    </row>
    <row r="55">
      <c r="A55" s="13" t="inlineStr">
        <is>
          <t>Date</t>
        </is>
      </c>
      <c r="B55" s="13" t="inlineStr">
        <is>
          <t>Particulars</t>
        </is>
      </c>
      <c r="C55" s="13" t="inlineStr">
        <is>
          <t>Vch No.</t>
        </is>
      </c>
      <c r="D55" s="13" t="inlineStr">
        <is>
          <t>Supplier Inv No.</t>
        </is>
      </c>
      <c r="E55" s="13" t="inlineStr">
        <is>
          <t>Supplier Inv Date</t>
        </is>
      </c>
      <c r="F55" s="13" t="inlineStr">
        <is>
          <t>GSTIN/UIN</t>
        </is>
      </c>
      <c r="G55" s="13" t="inlineStr">
        <is>
          <t>Purchase Ledger</t>
        </is>
      </c>
      <c r="H55" s="13" t="inlineStr">
        <is>
          <t>Taxable Value</t>
        </is>
      </c>
      <c r="I55" s="13" t="inlineStr">
        <is>
          <t>CGST</t>
        </is>
      </c>
      <c r="J55" s="13" t="inlineStr">
        <is>
          <t>SGST</t>
        </is>
      </c>
      <c r="K55" s="13" t="inlineStr">
        <is>
          <t>IGST</t>
        </is>
      </c>
      <c r="L55" s="13" t="inlineStr">
        <is>
          <t>Round Off</t>
        </is>
      </c>
      <c r="M55" s="13" t="inlineStr">
        <is>
          <t>Gross Total</t>
        </is>
      </c>
      <c r="N55" s="12" t="e">
        <f>VLOOKUP(F55, Vendors!$B$4:$H$18, 6, FALSE)</f>
        <v>#N/A</v>
      </c>
      <c r="O55" s="12">
        <f>IF(ISNUMBER(H55), COUNTIFS($B$6:$B$71, B55, $H$6:$H$71, H55), 0)</f>
        <v>0</v>
      </c>
    </row>
    <row r="56">
      <c r="B56" s="12" t="inlineStr">
        <is>
          <t>Brought Forward</t>
        </is>
      </c>
      <c r="H56" s="15" t="n">
        <v>7932700</v>
      </c>
      <c r="I56" s="15" t="n">
        <v>271757</v>
      </c>
      <c r="J56" s="15" t="n">
        <v>271757</v>
      </c>
      <c r="K56" s="15" t="n">
        <v>666180</v>
      </c>
      <c r="M56" s="15" t="n">
        <v>9142394</v>
      </c>
      <c r="N56" s="12" t="e">
        <f>VLOOKUP(F56, Vendors!$B$4:$H$18, 6, FALSE)</f>
        <v>#N/A</v>
      </c>
      <c r="O56" s="12">
        <f>IF(ISNUMBER(H56), COUNTIFS($B$6:$B$71, B56, $H$6:$H$71, H56), 0)</f>
        <v>1</v>
      </c>
    </row>
    <row r="57">
      <c r="A57" s="14" t="n">
        <v>46455</v>
      </c>
      <c r="B57" s="12" t="inlineStr">
        <is>
          <t>Moshi Corrugators</t>
        </is>
      </c>
      <c r="C57" s="12" t="n">
        <v>2967</v>
      </c>
      <c r="D57" s="12" t="inlineStr">
        <is>
          <t>MC/26-27/270</t>
        </is>
      </c>
      <c r="E57" s="14" t="n">
        <v>46455</v>
      </c>
      <c r="F57" s="12" t="inlineStr">
        <is>
          <t>27YNLPL0717M1Z1</t>
        </is>
      </c>
      <c r="G57" s="12" t="inlineStr">
        <is>
          <t>Purchases – packing materials</t>
        </is>
      </c>
      <c r="H57" s="15" t="n">
        <v>86880</v>
      </c>
      <c r="I57" s="15" t="n">
        <v>2172</v>
      </c>
      <c r="J57" s="15" t="n">
        <v>2172</v>
      </c>
      <c r="M57" s="15" t="n">
        <v>91224</v>
      </c>
      <c r="N57" s="12" t="str">
        <f>VLOOKUP(F57, Vendors!$B$4:$H$18, 6, FALSE)</f>
        <v>Micro</v>
      </c>
      <c r="O57" s="12">
        <f>IF(ISNUMBER(H57), COUNTIFS($B$6:$B$71, B57, $H$6:$H$71, H57), 0)</f>
        <v>1</v>
      </c>
    </row>
    <row r="58">
      <c r="A58" s="14" t="n">
        <v>46455</v>
      </c>
      <c r="B58" s="12" t="inlineStr">
        <is>
          <t>Kolak Polypack Private Limited</t>
        </is>
      </c>
      <c r="C58" s="12" t="n">
        <v>2970</v>
      </c>
      <c r="D58" s="12" t="inlineStr">
        <is>
          <t>KP/26-27/1326</t>
        </is>
      </c>
      <c r="E58" s="14" t="n">
        <v>46452</v>
      </c>
      <c r="F58" s="12" t="inlineStr">
        <is>
          <t>24WGHCK4121C1Z7</t>
        </is>
      </c>
      <c r="G58" s="12" t="inlineStr">
        <is>
          <t>Purchases – packing materials</t>
        </is>
      </c>
      <c r="H58" s="15" t="n">
        <v>178600</v>
      </c>
      <c r="K58" s="15" t="n">
        <v>32148</v>
      </c>
      <c r="M58" s="15" t="n">
        <v>210748</v>
      </c>
      <c r="N58" s="12" t="str">
        <f>VLOOKUP(F58, Vendors!$B$4:$H$18, 6, FALSE)</f>
        <v>Small</v>
      </c>
      <c r="O58" s="12">
        <f>IF(ISNUMBER(H58), COUNTIFS($B$6:$B$71, B58, $H$6:$H$71, H58), 0)</f>
        <v>1</v>
      </c>
    </row>
    <row r="59">
      <c r="B59" s="12" t="inlineStr">
        <is>
          <t>(Being VCI bags and film, GRN-2027-03-0131)</t>
        </is>
      </c>
      <c r="N59" s="12" t="e">
        <f>VLOOKUP(F59, Vendors!$B$4:$H$18, 6, FALSE)</f>
        <v>#N/A</v>
      </c>
      <c r="O59" s="12">
        <f>IF(ISNUMBER(H59), COUNTIFS($B$6:$B$71, B59, $H$6:$H$71, H59), 0)</f>
        <v>0</v>
      </c>
    </row>
    <row r="60">
      <c r="A60" s="14" t="n">
        <v>46458</v>
      </c>
      <c r="B60" s="12" t="inlineStr">
        <is>
          <t>Moshi Corrugators</t>
        </is>
      </c>
      <c r="C60" s="12" t="n">
        <v>3001</v>
      </c>
      <c r="D60" s="12" t="inlineStr">
        <is>
          <t>MC/26-27/273</t>
        </is>
      </c>
      <c r="E60" s="14" t="n">
        <v>46458</v>
      </c>
      <c r="F60" s="12" t="inlineStr">
        <is>
          <t>27YNLPL0717M1Z1</t>
        </is>
      </c>
      <c r="G60" s="12" t="inlineStr">
        <is>
          <t>Purchases – packing materials</t>
        </is>
      </c>
      <c r="H60" s="15" t="n">
        <v>91200</v>
      </c>
      <c r="I60" s="15" t="n">
        <v>2280</v>
      </c>
      <c r="J60" s="15" t="n">
        <v>2280</v>
      </c>
      <c r="M60" s="15" t="n">
        <v>95760</v>
      </c>
      <c r="N60" s="12" t="str">
        <f>VLOOKUP(F60, Vendors!$B$4:$H$18, 6, FALSE)</f>
        <v>Micro</v>
      </c>
      <c r="O60" s="12">
        <f>IF(ISNUMBER(H60), COUNTIFS($B$6:$B$71, B60, $H$6:$H$71, H60), 0)</f>
        <v>1</v>
      </c>
    </row>
    <row r="61">
      <c r="A61" s="14" t="n">
        <v>46459</v>
      </c>
      <c r="B61" s="12" t="inlineStr">
        <is>
          <t>Hebbal Tooling Solutions Private Limited</t>
        </is>
      </c>
      <c r="C61" s="12" t="n">
        <v>3008</v>
      </c>
      <c r="D61" s="12" t="inlineStr">
        <is>
          <t>HTS/26-27/0979</t>
        </is>
      </c>
      <c r="E61" s="14" t="n">
        <v>46456</v>
      </c>
      <c r="F61" s="12" t="inlineStr">
        <is>
          <t>29ZEMCH0865A1ZP</t>
        </is>
      </c>
      <c r="G61" s="12" t="inlineStr">
        <is>
          <t>Purchases – stores and consumables</t>
        </is>
      </c>
      <c r="H61" s="15" t="n">
        <v>258400</v>
      </c>
      <c r="K61" s="15" t="n">
        <v>46512</v>
      </c>
      <c r="M61" s="15" t="n">
        <v>304912</v>
      </c>
      <c r="N61" s="12" t="str">
        <f>VLOOKUP(F61, Vendors!$B$4:$H$18, 6, FALSE)</f>
        <v>–</v>
      </c>
      <c r="O61" s="12">
        <f>IF(ISNUMBER(H61), COUNTIFS($B$6:$B$71, B61, $H$6:$H$71, H61), 0)</f>
        <v>1</v>
      </c>
    </row>
    <row r="62">
      <c r="A62" s="14" t="n">
        <v>46463</v>
      </c>
      <c r="B62" s="12" t="inlineStr">
        <is>
          <t>Moshi Corrugators</t>
        </is>
      </c>
      <c r="C62" s="12" t="n">
        <v>3055</v>
      </c>
      <c r="D62" s="12" t="inlineStr">
        <is>
          <t>MC/26-27/277</t>
        </is>
      </c>
      <c r="E62" s="14" t="n">
        <v>46463</v>
      </c>
      <c r="F62" s="12" t="inlineStr">
        <is>
          <t>27YNLPL0717M1Z1</t>
        </is>
      </c>
      <c r="G62" s="12" t="inlineStr">
        <is>
          <t>Purchases – packing materials</t>
        </is>
      </c>
      <c r="H62" s="15" t="n">
        <v>94080</v>
      </c>
      <c r="I62" s="15" t="n">
        <v>2352</v>
      </c>
      <c r="J62" s="15" t="n">
        <v>2352</v>
      </c>
      <c r="M62" s="15" t="n">
        <v>98784</v>
      </c>
      <c r="N62" s="12" t="str">
        <f>VLOOKUP(F62, Vendors!$B$4:$H$18, 6, FALSE)</f>
        <v>Micro</v>
      </c>
      <c r="O62" s="12">
        <f>IF(ISNUMBER(H62), COUNTIFS($B$6:$B$71, B62, $H$6:$H$71, H62), 0)</f>
        <v>1</v>
      </c>
    </row>
    <row r="63">
      <c r="A63" s="14" t="n">
        <v>46465</v>
      </c>
      <c r="B63" s="12" t="inlineStr">
        <is>
          <t>Mundhwa Lubricants and Chemicals</t>
        </is>
      </c>
      <c r="C63" s="12" t="n">
        <v>3076</v>
      </c>
      <c r="D63" s="12" t="inlineStr">
        <is>
          <t>MLC/26-27/1404</t>
        </is>
      </c>
      <c r="E63" s="14" t="n">
        <v>46465</v>
      </c>
      <c r="F63" s="12" t="inlineStr">
        <is>
          <t>27WHQFM7542F1ZX</t>
        </is>
      </c>
      <c r="G63" s="12" t="inlineStr">
        <is>
          <t>Purchases – stores and consumables</t>
        </is>
      </c>
      <c r="H63" s="15" t="n">
        <v>391840</v>
      </c>
      <c r="I63" s="15" t="n">
        <v>35265.6</v>
      </c>
      <c r="J63" s="15" t="n">
        <v>35265.6</v>
      </c>
      <c r="M63" s="15" t="n">
        <v>462371.2</v>
      </c>
      <c r="N63" s="12" t="str">
        <f>VLOOKUP(F63, Vendors!$B$4:$H$18, 6, FALSE)</f>
        <v>–</v>
      </c>
      <c r="O63" s="12">
        <f>IF(ISNUMBER(H63), COUNTIFS($B$6:$B$71, B63, $H$6:$H$71, H63), 0)</f>
        <v>1</v>
      </c>
    </row>
    <row r="64">
      <c r="A64" s="14" t="n">
        <v>46468</v>
      </c>
      <c r="B64" s="12" t="inlineStr">
        <is>
          <t>Moshi Corrugators</t>
        </is>
      </c>
      <c r="C64" s="12" t="n">
        <v>3110</v>
      </c>
      <c r="D64" s="12" t="inlineStr">
        <is>
          <t>MC/26-27/281</t>
        </is>
      </c>
      <c r="E64" s="14" t="n">
        <v>46468</v>
      </c>
      <c r="F64" s="12" t="inlineStr">
        <is>
          <t>27YNLPL0717M1Z1</t>
        </is>
      </c>
      <c r="G64" s="12" t="inlineStr">
        <is>
          <t>Purchases – packing materials</t>
        </is>
      </c>
      <c r="H64" s="15" t="n">
        <v>89760</v>
      </c>
      <c r="I64" s="15" t="n">
        <v>2244</v>
      </c>
      <c r="J64" s="15" t="n">
        <v>2244</v>
      </c>
      <c r="M64" s="15" t="n">
        <v>94248</v>
      </c>
      <c r="N64" s="12" t="str">
        <f>VLOOKUP(F64, Vendors!$B$4:$H$18, 6, FALSE)</f>
        <v>Micro</v>
      </c>
      <c r="O64" s="12">
        <f>IF(ISNUMBER(H64), COUNTIFS($B$6:$B$71, B64, $H$6:$H$71, H64), 0)</f>
        <v>1</v>
      </c>
    </row>
    <row r="65">
      <c r="A65" s="14" t="n">
        <v>46473</v>
      </c>
      <c r="B65" s="12" t="inlineStr">
        <is>
          <t>Moshi Corrugators</t>
        </is>
      </c>
      <c r="C65" s="12" t="n">
        <v>3160</v>
      </c>
      <c r="D65" s="12" t="inlineStr">
        <is>
          <t>MC/26-27/286</t>
        </is>
      </c>
      <c r="E65" s="14" t="n">
        <v>46473</v>
      </c>
      <c r="F65" s="12" t="inlineStr">
        <is>
          <t>27YNLPL0717M1Z1</t>
        </is>
      </c>
      <c r="G65" s="12" t="inlineStr">
        <is>
          <t>Purchases – packing materials</t>
        </is>
      </c>
      <c r="H65" s="15" t="n">
        <v>115200</v>
      </c>
      <c r="I65" s="15" t="n">
        <v>6912</v>
      </c>
      <c r="J65" s="15" t="n">
        <v>6912</v>
      </c>
      <c r="M65" s="15" t="n">
        <v>129024</v>
      </c>
      <c r="N65" s="12" t="str">
        <f>VLOOKUP(F65, Vendors!$B$4:$H$18, 6, FALSE)</f>
        <v>Micro</v>
      </c>
      <c r="O65" s="12">
        <f>IF(ISNUMBER(H65), COUNTIFS($B$6:$B$71, B65, $H$6:$H$71, H65), 0)</f>
        <v>1</v>
      </c>
    </row>
    <row r="66">
      <c r="A66" s="14" t="n">
        <v>46475</v>
      </c>
      <c r="B66" s="12" t="inlineStr">
        <is>
          <t>Hebbal Tooling Solutions Private Limited</t>
        </is>
      </c>
      <c r="C66" s="12" t="n">
        <v>3171</v>
      </c>
      <c r="D66" s="12" t="inlineStr">
        <is>
          <t>HTS/26-27/1042</t>
        </is>
      </c>
      <c r="E66" s="14" t="n">
        <v>46470</v>
      </c>
      <c r="F66" s="12" t="inlineStr">
        <is>
          <t>29ZEMCH0865A1ZP</t>
        </is>
      </c>
      <c r="G66" s="12" t="inlineStr">
        <is>
          <t>Purchases – stores and consumables</t>
        </is>
      </c>
      <c r="H66" s="15" t="n">
        <v>721600</v>
      </c>
      <c r="K66" s="15" t="n">
        <v>129888</v>
      </c>
      <c r="M66" s="15" t="n">
        <v>851488</v>
      </c>
      <c r="N66" s="12" t="str">
        <f>VLOOKUP(F66, Vendors!$B$4:$H$18, 6, FALSE)</f>
        <v>–</v>
      </c>
      <c r="O66" s="12">
        <f>IF(ISNUMBER(H66), COUNTIFS($B$6:$B$71, B66, $H$6:$H$71, H66), 0)</f>
        <v>1</v>
      </c>
    </row>
    <row r="67">
      <c r="A67" s="14" t="n">
        <v>46475</v>
      </c>
      <c r="B67" s="12" t="inlineStr">
        <is>
          <t>Kolak Polypack Private Limited</t>
        </is>
      </c>
      <c r="C67" s="12" t="n">
        <v>3173</v>
      </c>
      <c r="D67" s="12" t="inlineStr">
        <is>
          <t>KP/26-27/1342</t>
        </is>
      </c>
      <c r="E67" s="14" t="n">
        <v>46471</v>
      </c>
      <c r="F67" s="12" t="inlineStr">
        <is>
          <t>24WGHCK4121C1Z7</t>
        </is>
      </c>
      <c r="G67" s="12" t="inlineStr">
        <is>
          <t>Purchases – packing materials</t>
        </is>
      </c>
      <c r="H67" s="15" t="n">
        <v>212400</v>
      </c>
      <c r="K67" s="15" t="n">
        <v>38232</v>
      </c>
      <c r="M67" s="15" t="n">
        <v>250632</v>
      </c>
      <c r="N67" s="12" t="str">
        <f>VLOOKUP(F67, Vendors!$B$4:$H$18, 6, FALSE)</f>
        <v>Small</v>
      </c>
      <c r="O67" s="12">
        <f>IF(ISNUMBER(H67), COUNTIFS($B$6:$B$71, B67, $H$6:$H$71, H67), 0)</f>
        <v>1</v>
      </c>
    </row>
    <row r="68">
      <c r="A68" s="14" t="n">
        <v>46476</v>
      </c>
      <c r="B68" s="12" t="inlineStr">
        <is>
          <t>Moshi Corrugators</t>
        </is>
      </c>
      <c r="C68" s="12" t="n">
        <v>3195</v>
      </c>
      <c r="D68" s="12" t="inlineStr">
        <is>
          <t>MC/26-27/289</t>
        </is>
      </c>
      <c r="E68" s="14" t="n">
        <v>46476</v>
      </c>
      <c r="F68" s="12" t="inlineStr">
        <is>
          <t>27YNLPL0717M1Z1</t>
        </is>
      </c>
      <c r="G68" s="12" t="inlineStr">
        <is>
          <t>Purchases – packing materials</t>
        </is>
      </c>
      <c r="H68" s="15" t="n">
        <v>88480</v>
      </c>
      <c r="I68" s="15" t="n">
        <v>2212</v>
      </c>
      <c r="J68" s="15" t="n">
        <v>2212</v>
      </c>
      <c r="M68" s="15" t="n">
        <v>92904</v>
      </c>
      <c r="N68" s="12" t="str">
        <f>VLOOKUP(F68, Vendors!$B$4:$H$18, 6, FALSE)</f>
        <v>Micro</v>
      </c>
      <c r="O68" s="12">
        <f>IF(ISNUMBER(H68), COUNTIFS($B$6:$B$71, B68, $H$6:$H$71, H68), 0)</f>
        <v>1</v>
      </c>
    </row>
    <row r="69">
      <c r="A69" s="14" t="n">
        <v>46477</v>
      </c>
      <c r="B69" s="12" t="inlineStr">
        <is>
          <t>Mundhwa Lubricants and Chemicals</t>
        </is>
      </c>
      <c r="C69" s="12" t="n">
        <v>3219</v>
      </c>
      <c r="D69" s="12" t="inlineStr">
        <is>
          <t>MLC/26-27/1418</t>
        </is>
      </c>
      <c r="E69" s="14" t="n">
        <v>46477</v>
      </c>
      <c r="F69" s="12" t="inlineStr">
        <is>
          <t>27WHQFM7542F1ZX</t>
        </is>
      </c>
      <c r="G69" s="12" t="inlineStr">
        <is>
          <t>Purchases – stores and consumables</t>
        </is>
      </c>
      <c r="H69" s="15" t="n">
        <v>244860</v>
      </c>
      <c r="I69" s="15" t="n">
        <v>22037.4</v>
      </c>
      <c r="J69" s="15" t="n">
        <v>22037.4</v>
      </c>
      <c r="L69" s="15" t="n">
        <v>0.2</v>
      </c>
      <c r="M69" s="15" t="n">
        <v>288935</v>
      </c>
      <c r="N69" s="12" t="str">
        <f>VLOOKUP(F69, Vendors!$B$4:$H$18, 6, FALSE)</f>
        <v>–</v>
      </c>
      <c r="O69" s="12">
        <f>IF(ISNUMBER(H69), COUNTIFS($B$6:$B$71, B69, $H$6:$H$71, H69), 0)</f>
        <v>1</v>
      </c>
    </row>
    <row r="70">
      <c r="N70" s="12" t="e">
        <f>VLOOKUP(F70, Vendors!$B$4:$H$18, 6, FALSE)</f>
        <v>#N/A</v>
      </c>
      <c r="O70" s="12">
        <f>IF(ISNUMBER(H70), COUNTIFS($B$6:$B$71, B70, $H$6:$H$71, H70), 0)</f>
        <v>0</v>
      </c>
    </row>
    <row r="71">
      <c r="B71" s="12" t="inlineStr">
        <is>
          <t>Grand Total</t>
        </is>
      </c>
      <c r="H71" s="15" t="n">
        <v>10506000</v>
      </c>
      <c r="I71" s="15" t="n">
        <v>347232</v>
      </c>
      <c r="J71" s="15" t="n">
        <v>347232</v>
      </c>
      <c r="K71" s="15" t="n">
        <v>912960</v>
      </c>
      <c r="L71" s="15" t="n">
        <v>0.2</v>
      </c>
      <c r="M71" s="15" t="n">
        <v>12113424.2</v>
      </c>
      <c r="N71" s="12" t="e">
        <f>VLOOKUP(F71, Vendors!$B$4:$H$18, 6, FALSE)</f>
        <v>#N/A</v>
      </c>
      <c r="O71" s="12">
        <f>IF(ISNUMBER(H71), COUNTIFS($B$6:$B$71, B71, $H$6:$H$71, H71), 0)</f>
        <v>1</v>
      </c>
    </row>
  </sheetData>
  <pageMargins left="0.75" right="0.75" top="1" bottom="1" header="0.5" footer="0.5"/>
  <pageSetup orientation="landscape" fitToHeight="0" fitToWidth="1"/>
  <headerFooter>
    <oddHeader>&amp;C&amp;9 MSC Articleship Program | Work Simulation</oddHeader>
    <oddFooter>&amp;C&amp;9 CA Padam Bhansali | My Student Club ·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5487F"/>
    <outlinePr summaryBelow="1" summaryRight="1"/>
    <pageSetUpPr fitToPage="1"/>
  </sheetPr>
  <dimension ref="A1:N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" customWidth="1" min="3" max="3"/>
    <col width="16" customWidth="1" min="4" max="4"/>
    <col width="15" customWidth="1" min="5" max="5"/>
    <col width="19" customWidth="1" min="6" max="6"/>
    <col width="3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13" customWidth="1" min="14" max="14"/>
  </cols>
  <sheetData>
    <row r="1" ht="30" customHeight="1">
      <c r="D1" s="1" t="inlineStr">
        <is>
          <t>Your register</t>
        </is>
      </c>
    </row>
    <row r="2" ht="18" customHeight="1">
      <c r="D2" s="2" t="inlineStr">
        <is>
          <t>Bills only: one row per bill, January–March 2027, from row 6. Headings stay in row 5.</t>
        </is>
      </c>
    </row>
    <row r="3">
      <c r="A3" s="3" t="inlineStr">
        <is>
          <t>Paste a copy from Raw, then clean it here: rows 6 to the last bill, no gaps, nothing that is not a bill.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4">
      <c r="A4" s="9" t="inlineStr">
        <is>
          <t>Column N: each bill’s MSME status from Vendors, with an exact-match lookup on the GSTIN in column F.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1" t="n"/>
    </row>
    <row r="5">
      <c r="A5" s="16" t="inlineStr">
        <is>
          <t>Date</t>
        </is>
      </c>
      <c r="B5" s="16" t="inlineStr">
        <is>
          <t>Particulars</t>
        </is>
      </c>
      <c r="C5" s="16" t="inlineStr">
        <is>
          <t>Vch No.</t>
        </is>
      </c>
      <c r="D5" s="16" t="inlineStr">
        <is>
          <t>Supplier Inv No.</t>
        </is>
      </c>
      <c r="E5" s="16" t="inlineStr">
        <is>
          <t>Supplier Inv Date</t>
        </is>
      </c>
      <c r="F5" s="16" t="inlineStr">
        <is>
          <t>GSTIN/UIN</t>
        </is>
      </c>
      <c r="G5" s="16" t="inlineStr">
        <is>
          <t>Purchase Ledger</t>
        </is>
      </c>
      <c r="H5" s="16" t="inlineStr">
        <is>
          <t>Taxable Value</t>
        </is>
      </c>
      <c r="I5" s="16" t="inlineStr">
        <is>
          <t>CGST</t>
        </is>
      </c>
      <c r="J5" s="16" t="inlineStr">
        <is>
          <t>SGST</t>
        </is>
      </c>
      <c r="K5" s="16" t="inlineStr">
        <is>
          <t>IGST</t>
        </is>
      </c>
      <c r="L5" s="16" t="inlineStr">
        <is>
          <t>Round Off</t>
        </is>
      </c>
      <c r="M5" s="16" t="inlineStr">
        <is>
          <t>Gross Total</t>
        </is>
      </c>
      <c r="N5" s="16" t="inlineStr">
        <is>
          <t>MSME status</t>
        </is>
      </c>
    </row>
    <row r="6">
      <c r="A6" s="22" t="n"/>
      <c r="B6" s="23" t="n"/>
      <c r="C6" s="23" t="n"/>
      <c r="D6" s="23" t="n"/>
      <c r="E6" s="22" t="n"/>
      <c r="F6" s="23" t="n"/>
      <c r="G6" s="23" t="n"/>
      <c r="H6" s="24" t="n"/>
      <c r="I6" s="24" t="n"/>
      <c r="J6" s="24" t="n"/>
      <c r="K6" s="24" t="n"/>
      <c r="L6" s="24" t="n"/>
      <c r="M6" s="24" t="n"/>
      <c r="N6" s="23" t="n"/>
    </row>
    <row r="7">
      <c r="A7" s="22" t="n"/>
      <c r="B7" s="23" t="n"/>
      <c r="C7" s="23" t="n"/>
      <c r="D7" s="23" t="n"/>
      <c r="E7" s="22" t="n"/>
      <c r="F7" s="23" t="n"/>
      <c r="G7" s="23" t="n"/>
      <c r="H7" s="24" t="n"/>
      <c r="I7" s="24" t="n"/>
      <c r="J7" s="24" t="n"/>
      <c r="K7" s="24" t="n"/>
      <c r="L7" s="24" t="n"/>
      <c r="M7" s="24" t="n"/>
      <c r="N7" s="23" t="n"/>
    </row>
    <row r="8">
      <c r="A8" s="22" t="n"/>
      <c r="B8" s="23" t="n"/>
      <c r="C8" s="23" t="n"/>
      <c r="D8" s="23" t="n"/>
      <c r="E8" s="22" t="n"/>
      <c r="F8" s="23" t="n"/>
      <c r="G8" s="23" t="n"/>
      <c r="H8" s="24" t="n"/>
      <c r="I8" s="24" t="n"/>
      <c r="J8" s="24" t="n"/>
      <c r="K8" s="24" t="n"/>
      <c r="L8" s="24" t="n"/>
      <c r="M8" s="24" t="n"/>
      <c r="N8" s="23" t="n"/>
    </row>
    <row r="9">
      <c r="A9" s="22" t="n"/>
      <c r="B9" s="23" t="n"/>
      <c r="C9" s="23" t="n"/>
      <c r="D9" s="23" t="n"/>
      <c r="E9" s="22" t="n"/>
      <c r="F9" s="23" t="n"/>
      <c r="G9" s="23" t="n"/>
      <c r="H9" s="24" t="n"/>
      <c r="I9" s="24" t="n"/>
      <c r="J9" s="24" t="n"/>
      <c r="K9" s="24" t="n"/>
      <c r="L9" s="24" t="n"/>
      <c r="M9" s="24" t="n"/>
      <c r="N9" s="23" t="n"/>
    </row>
    <row r="10">
      <c r="A10" s="22" t="n"/>
      <c r="B10" s="23" t="n"/>
      <c r="C10" s="23" t="n"/>
      <c r="D10" s="23" t="n"/>
      <c r="E10" s="22" t="n"/>
      <c r="F10" s="23" t="n"/>
      <c r="G10" s="23" t="n"/>
      <c r="H10" s="24" t="n"/>
      <c r="I10" s="24" t="n"/>
      <c r="J10" s="24" t="n"/>
      <c r="K10" s="24" t="n"/>
      <c r="L10" s="24" t="n"/>
      <c r="M10" s="24" t="n"/>
      <c r="N10" s="23" t="n"/>
    </row>
    <row r="11">
      <c r="A11" s="22" t="n"/>
      <c r="B11" s="23" t="n"/>
      <c r="C11" s="23" t="n"/>
      <c r="D11" s="23" t="n"/>
      <c r="E11" s="22" t="n"/>
      <c r="F11" s="23" t="n"/>
      <c r="G11" s="23" t="n"/>
      <c r="H11" s="24" t="n"/>
      <c r="I11" s="24" t="n"/>
      <c r="J11" s="24" t="n"/>
      <c r="K11" s="24" t="n"/>
      <c r="L11" s="24" t="n"/>
      <c r="M11" s="24" t="n"/>
      <c r="N11" s="23" t="n"/>
    </row>
    <row r="12">
      <c r="A12" s="22" t="n"/>
      <c r="B12" s="23" t="n"/>
      <c r="C12" s="23" t="n"/>
      <c r="D12" s="23" t="n"/>
      <c r="E12" s="22" t="n"/>
      <c r="F12" s="23" t="n"/>
      <c r="G12" s="23" t="n"/>
      <c r="H12" s="24" t="n"/>
      <c r="I12" s="24" t="n"/>
      <c r="J12" s="24" t="n"/>
      <c r="K12" s="24" t="n"/>
      <c r="L12" s="24" t="n"/>
      <c r="M12" s="24" t="n"/>
      <c r="N12" s="23" t="n"/>
    </row>
    <row r="13">
      <c r="A13" s="22" t="n"/>
      <c r="B13" s="23" t="n"/>
      <c r="C13" s="23" t="n"/>
      <c r="D13" s="23" t="n"/>
      <c r="E13" s="22" t="n"/>
      <c r="F13" s="23" t="n"/>
      <c r="G13" s="23" t="n"/>
      <c r="H13" s="24" t="n"/>
      <c r="I13" s="24" t="n"/>
      <c r="J13" s="24" t="n"/>
      <c r="K13" s="24" t="n"/>
      <c r="L13" s="24" t="n"/>
      <c r="M13" s="24" t="n"/>
      <c r="N13" s="23" t="n"/>
    </row>
    <row r="14">
      <c r="A14" s="22" t="n"/>
      <c r="B14" s="23" t="n"/>
      <c r="C14" s="23" t="n"/>
      <c r="D14" s="23" t="n"/>
      <c r="E14" s="22" t="n"/>
      <c r="F14" s="23" t="n"/>
      <c r="G14" s="23" t="n"/>
      <c r="H14" s="24" t="n"/>
      <c r="I14" s="24" t="n"/>
      <c r="J14" s="24" t="n"/>
      <c r="K14" s="24" t="n"/>
      <c r="L14" s="24" t="n"/>
      <c r="M14" s="24" t="n"/>
      <c r="N14" s="23" t="n"/>
    </row>
    <row r="15">
      <c r="A15" s="22" t="n"/>
      <c r="B15" s="23" t="n"/>
      <c r="C15" s="23" t="n"/>
      <c r="D15" s="23" t="n"/>
      <c r="E15" s="22" t="n"/>
      <c r="F15" s="23" t="n"/>
      <c r="G15" s="23" t="n"/>
      <c r="H15" s="24" t="n"/>
      <c r="I15" s="24" t="n"/>
      <c r="J15" s="24" t="n"/>
      <c r="K15" s="24" t="n"/>
      <c r="L15" s="24" t="n"/>
      <c r="M15" s="24" t="n"/>
      <c r="N15" s="23" t="n"/>
    </row>
    <row r="16">
      <c r="A16" s="22" t="n"/>
      <c r="B16" s="23" t="n"/>
      <c r="C16" s="23" t="n"/>
      <c r="D16" s="23" t="n"/>
      <c r="E16" s="22" t="n"/>
      <c r="F16" s="23" t="n"/>
      <c r="G16" s="23" t="n"/>
      <c r="H16" s="24" t="n"/>
      <c r="I16" s="24" t="n"/>
      <c r="J16" s="24" t="n"/>
      <c r="K16" s="24" t="n"/>
      <c r="L16" s="24" t="n"/>
      <c r="M16" s="24" t="n"/>
      <c r="N16" s="23" t="n"/>
    </row>
    <row r="17">
      <c r="A17" s="22" t="n"/>
      <c r="B17" s="23" t="n"/>
      <c r="C17" s="23" t="n"/>
      <c r="D17" s="23" t="n"/>
      <c r="E17" s="22" t="n"/>
      <c r="F17" s="23" t="n"/>
      <c r="G17" s="23" t="n"/>
      <c r="H17" s="24" t="n"/>
      <c r="I17" s="24" t="n"/>
      <c r="J17" s="24" t="n"/>
      <c r="K17" s="24" t="n"/>
      <c r="L17" s="24" t="n"/>
      <c r="M17" s="24" t="n"/>
      <c r="N17" s="23" t="n"/>
    </row>
    <row r="18">
      <c r="A18" s="22" t="n"/>
      <c r="B18" s="23" t="n"/>
      <c r="C18" s="23" t="n"/>
      <c r="D18" s="23" t="n"/>
      <c r="E18" s="22" t="n"/>
      <c r="F18" s="23" t="n"/>
      <c r="G18" s="23" t="n"/>
      <c r="H18" s="24" t="n"/>
      <c r="I18" s="24" t="n"/>
      <c r="J18" s="24" t="n"/>
      <c r="K18" s="24" t="n"/>
      <c r="L18" s="24" t="n"/>
      <c r="M18" s="24" t="n"/>
      <c r="N18" s="23" t="n"/>
    </row>
    <row r="19">
      <c r="A19" s="22" t="n"/>
      <c r="B19" s="23" t="n"/>
      <c r="C19" s="23" t="n"/>
      <c r="D19" s="23" t="n"/>
      <c r="E19" s="22" t="n"/>
      <c r="F19" s="23" t="n"/>
      <c r="G19" s="23" t="n"/>
      <c r="H19" s="24" t="n"/>
      <c r="I19" s="24" t="n"/>
      <c r="J19" s="24" t="n"/>
      <c r="K19" s="24" t="n"/>
      <c r="L19" s="24" t="n"/>
      <c r="M19" s="24" t="n"/>
      <c r="N19" s="23" t="n"/>
    </row>
    <row r="20">
      <c r="A20" s="22" t="n"/>
      <c r="B20" s="23" t="n"/>
      <c r="C20" s="23" t="n"/>
      <c r="D20" s="23" t="n"/>
      <c r="E20" s="22" t="n"/>
      <c r="F20" s="23" t="n"/>
      <c r="G20" s="23" t="n"/>
      <c r="H20" s="24" t="n"/>
      <c r="I20" s="24" t="n"/>
      <c r="J20" s="24" t="n"/>
      <c r="K20" s="24" t="n"/>
      <c r="L20" s="24" t="n"/>
      <c r="M20" s="24" t="n"/>
      <c r="N20" s="23" t="n"/>
    </row>
    <row r="21">
      <c r="A21" s="22" t="n"/>
      <c r="B21" s="23" t="n"/>
      <c r="C21" s="23" t="n"/>
      <c r="D21" s="23" t="n"/>
      <c r="E21" s="22" t="n"/>
      <c r="F21" s="23" t="n"/>
      <c r="G21" s="23" t="n"/>
      <c r="H21" s="24" t="n"/>
      <c r="I21" s="24" t="n"/>
      <c r="J21" s="24" t="n"/>
      <c r="K21" s="24" t="n"/>
      <c r="L21" s="24" t="n"/>
      <c r="M21" s="24" t="n"/>
      <c r="N21" s="23" t="n"/>
    </row>
    <row r="22">
      <c r="A22" s="22" t="n"/>
      <c r="B22" s="23" t="n"/>
      <c r="C22" s="23" t="n"/>
      <c r="D22" s="23" t="n"/>
      <c r="E22" s="22" t="n"/>
      <c r="F22" s="23" t="n"/>
      <c r="G22" s="23" t="n"/>
      <c r="H22" s="24" t="n"/>
      <c r="I22" s="24" t="n"/>
      <c r="J22" s="24" t="n"/>
      <c r="K22" s="24" t="n"/>
      <c r="L22" s="24" t="n"/>
      <c r="M22" s="24" t="n"/>
      <c r="N22" s="23" t="n"/>
    </row>
    <row r="23">
      <c r="A23" s="22" t="n"/>
      <c r="B23" s="23" t="n"/>
      <c r="C23" s="23" t="n"/>
      <c r="D23" s="23" t="n"/>
      <c r="E23" s="22" t="n"/>
      <c r="F23" s="23" t="n"/>
      <c r="G23" s="23" t="n"/>
      <c r="H23" s="24" t="n"/>
      <c r="I23" s="24" t="n"/>
      <c r="J23" s="24" t="n"/>
      <c r="K23" s="24" t="n"/>
      <c r="L23" s="24" t="n"/>
      <c r="M23" s="24" t="n"/>
      <c r="N23" s="23" t="n"/>
    </row>
    <row r="24">
      <c r="A24" s="22" t="n"/>
      <c r="B24" s="23" t="n"/>
      <c r="C24" s="23" t="n"/>
      <c r="D24" s="23" t="n"/>
      <c r="E24" s="22" t="n"/>
      <c r="F24" s="23" t="n"/>
      <c r="G24" s="23" t="n"/>
      <c r="H24" s="24" t="n"/>
      <c r="I24" s="24" t="n"/>
      <c r="J24" s="24" t="n"/>
      <c r="K24" s="24" t="n"/>
      <c r="L24" s="24" t="n"/>
      <c r="M24" s="24" t="n"/>
      <c r="N24" s="23" t="n"/>
    </row>
    <row r="25">
      <c r="A25" s="22" t="n"/>
      <c r="B25" s="23" t="n"/>
      <c r="C25" s="23" t="n"/>
      <c r="D25" s="23" t="n"/>
      <c r="E25" s="22" t="n"/>
      <c r="F25" s="23" t="n"/>
      <c r="G25" s="23" t="n"/>
      <c r="H25" s="24" t="n"/>
      <c r="I25" s="24" t="n"/>
      <c r="J25" s="24" t="n"/>
      <c r="K25" s="24" t="n"/>
      <c r="L25" s="24" t="n"/>
      <c r="M25" s="24" t="n"/>
      <c r="N25" s="23" t="n"/>
    </row>
    <row r="26">
      <c r="A26" s="22" t="n"/>
      <c r="B26" s="23" t="n"/>
      <c r="C26" s="23" t="n"/>
      <c r="D26" s="23" t="n"/>
      <c r="E26" s="22" t="n"/>
      <c r="F26" s="23" t="n"/>
      <c r="G26" s="23" t="n"/>
      <c r="H26" s="24" t="n"/>
      <c r="I26" s="24" t="n"/>
      <c r="J26" s="24" t="n"/>
      <c r="K26" s="24" t="n"/>
      <c r="L26" s="24" t="n"/>
      <c r="M26" s="24" t="n"/>
      <c r="N26" s="23" t="n"/>
    </row>
    <row r="27">
      <c r="A27" s="22" t="n"/>
      <c r="B27" s="23" t="n"/>
      <c r="C27" s="23" t="n"/>
      <c r="D27" s="23" t="n"/>
      <c r="E27" s="22" t="n"/>
      <c r="F27" s="23" t="n"/>
      <c r="G27" s="23" t="n"/>
      <c r="H27" s="24" t="n"/>
      <c r="I27" s="24" t="n"/>
      <c r="J27" s="24" t="n"/>
      <c r="K27" s="24" t="n"/>
      <c r="L27" s="24" t="n"/>
      <c r="M27" s="24" t="n"/>
      <c r="N27" s="23" t="n"/>
    </row>
    <row r="28">
      <c r="A28" s="22" t="n"/>
      <c r="B28" s="23" t="n"/>
      <c r="C28" s="23" t="n"/>
      <c r="D28" s="23" t="n"/>
      <c r="E28" s="22" t="n"/>
      <c r="F28" s="23" t="n"/>
      <c r="G28" s="23" t="n"/>
      <c r="H28" s="24" t="n"/>
      <c r="I28" s="24" t="n"/>
      <c r="J28" s="24" t="n"/>
      <c r="K28" s="24" t="n"/>
      <c r="L28" s="24" t="n"/>
      <c r="M28" s="24" t="n"/>
      <c r="N28" s="23" t="n"/>
    </row>
    <row r="29">
      <c r="A29" s="22" t="n"/>
      <c r="B29" s="23" t="n"/>
      <c r="C29" s="23" t="n"/>
      <c r="D29" s="23" t="n"/>
      <c r="E29" s="22" t="n"/>
      <c r="F29" s="23" t="n"/>
      <c r="G29" s="23" t="n"/>
      <c r="H29" s="24" t="n"/>
      <c r="I29" s="24" t="n"/>
      <c r="J29" s="24" t="n"/>
      <c r="K29" s="24" t="n"/>
      <c r="L29" s="24" t="n"/>
      <c r="M29" s="24" t="n"/>
      <c r="N29" s="23" t="n"/>
    </row>
    <row r="30">
      <c r="A30" s="22" t="n"/>
      <c r="B30" s="23" t="n"/>
      <c r="C30" s="23" t="n"/>
      <c r="D30" s="23" t="n"/>
      <c r="E30" s="22" t="n"/>
      <c r="F30" s="23" t="n"/>
      <c r="G30" s="23" t="n"/>
      <c r="H30" s="24" t="n"/>
      <c r="I30" s="24" t="n"/>
      <c r="J30" s="24" t="n"/>
      <c r="K30" s="24" t="n"/>
      <c r="L30" s="24" t="n"/>
      <c r="M30" s="24" t="n"/>
      <c r="N30" s="23" t="n"/>
    </row>
    <row r="31">
      <c r="A31" s="22" t="n"/>
      <c r="B31" s="23" t="n"/>
      <c r="C31" s="23" t="n"/>
      <c r="D31" s="23" t="n"/>
      <c r="E31" s="22" t="n"/>
      <c r="F31" s="23" t="n"/>
      <c r="G31" s="23" t="n"/>
      <c r="H31" s="24" t="n"/>
      <c r="I31" s="24" t="n"/>
      <c r="J31" s="24" t="n"/>
      <c r="K31" s="24" t="n"/>
      <c r="L31" s="24" t="n"/>
      <c r="M31" s="24" t="n"/>
      <c r="N31" s="23" t="n"/>
    </row>
    <row r="32">
      <c r="A32" s="22" t="n"/>
      <c r="B32" s="23" t="n"/>
      <c r="C32" s="23" t="n"/>
      <c r="D32" s="23" t="n"/>
      <c r="E32" s="22" t="n"/>
      <c r="F32" s="23" t="n"/>
      <c r="G32" s="23" t="n"/>
      <c r="H32" s="24" t="n"/>
      <c r="I32" s="24" t="n"/>
      <c r="J32" s="24" t="n"/>
      <c r="K32" s="24" t="n"/>
      <c r="L32" s="24" t="n"/>
      <c r="M32" s="24" t="n"/>
      <c r="N32" s="23" t="n"/>
    </row>
    <row r="33">
      <c r="A33" s="22" t="n"/>
      <c r="B33" s="23" t="n"/>
      <c r="C33" s="23" t="n"/>
      <c r="D33" s="23" t="n"/>
      <c r="E33" s="22" t="n"/>
      <c r="F33" s="23" t="n"/>
      <c r="G33" s="23" t="n"/>
      <c r="H33" s="24" t="n"/>
      <c r="I33" s="24" t="n"/>
      <c r="J33" s="24" t="n"/>
      <c r="K33" s="24" t="n"/>
      <c r="L33" s="24" t="n"/>
      <c r="M33" s="24" t="n"/>
      <c r="N33" s="23" t="n"/>
    </row>
    <row r="34">
      <c r="A34" s="22" t="n"/>
      <c r="B34" s="23" t="n"/>
      <c r="C34" s="23" t="n"/>
      <c r="D34" s="23" t="n"/>
      <c r="E34" s="22" t="n"/>
      <c r="F34" s="23" t="n"/>
      <c r="G34" s="23" t="n"/>
      <c r="H34" s="24" t="n"/>
      <c r="I34" s="24" t="n"/>
      <c r="J34" s="24" t="n"/>
      <c r="K34" s="24" t="n"/>
      <c r="L34" s="24" t="n"/>
      <c r="M34" s="24" t="n"/>
      <c r="N34" s="23" t="n"/>
    </row>
    <row r="35">
      <c r="A35" s="22" t="n"/>
      <c r="B35" s="23" t="n"/>
      <c r="C35" s="23" t="n"/>
      <c r="D35" s="23" t="n"/>
      <c r="E35" s="22" t="n"/>
      <c r="F35" s="23" t="n"/>
      <c r="G35" s="23" t="n"/>
      <c r="H35" s="24" t="n"/>
      <c r="I35" s="24" t="n"/>
      <c r="J35" s="24" t="n"/>
      <c r="K35" s="24" t="n"/>
      <c r="L35" s="24" t="n"/>
      <c r="M35" s="24" t="n"/>
      <c r="N35" s="23" t="n"/>
    </row>
    <row r="36">
      <c r="A36" s="22" t="n"/>
      <c r="B36" s="23" t="n"/>
      <c r="C36" s="23" t="n"/>
      <c r="D36" s="23" t="n"/>
      <c r="E36" s="22" t="n"/>
      <c r="F36" s="23" t="n"/>
      <c r="G36" s="23" t="n"/>
      <c r="H36" s="24" t="n"/>
      <c r="I36" s="24" t="n"/>
      <c r="J36" s="24" t="n"/>
      <c r="K36" s="24" t="n"/>
      <c r="L36" s="24" t="n"/>
      <c r="M36" s="24" t="n"/>
      <c r="N36" s="23" t="n"/>
    </row>
    <row r="37">
      <c r="A37" s="22" t="n"/>
      <c r="B37" s="23" t="n"/>
      <c r="C37" s="23" t="n"/>
      <c r="D37" s="23" t="n"/>
      <c r="E37" s="22" t="n"/>
      <c r="F37" s="23" t="n"/>
      <c r="G37" s="23" t="n"/>
      <c r="H37" s="24" t="n"/>
      <c r="I37" s="24" t="n"/>
      <c r="J37" s="24" t="n"/>
      <c r="K37" s="24" t="n"/>
      <c r="L37" s="24" t="n"/>
      <c r="M37" s="24" t="n"/>
      <c r="N37" s="23" t="n"/>
    </row>
    <row r="38">
      <c r="A38" s="22" t="n"/>
      <c r="B38" s="23" t="n"/>
      <c r="C38" s="23" t="n"/>
      <c r="D38" s="23" t="n"/>
      <c r="E38" s="22" t="n"/>
      <c r="F38" s="23" t="n"/>
      <c r="G38" s="23" t="n"/>
      <c r="H38" s="24" t="n"/>
      <c r="I38" s="24" t="n"/>
      <c r="J38" s="24" t="n"/>
      <c r="K38" s="24" t="n"/>
      <c r="L38" s="24" t="n"/>
      <c r="M38" s="24" t="n"/>
      <c r="N38" s="23" t="n"/>
    </row>
    <row r="39">
      <c r="A39" s="22" t="n"/>
      <c r="B39" s="23" t="n"/>
      <c r="C39" s="23" t="n"/>
      <c r="D39" s="23" t="n"/>
      <c r="E39" s="22" t="n"/>
      <c r="F39" s="23" t="n"/>
      <c r="G39" s="23" t="n"/>
      <c r="H39" s="24" t="n"/>
      <c r="I39" s="24" t="n"/>
      <c r="J39" s="24" t="n"/>
      <c r="K39" s="24" t="n"/>
      <c r="L39" s="24" t="n"/>
      <c r="M39" s="24" t="n"/>
      <c r="N39" s="23" t="n"/>
    </row>
    <row r="40">
      <c r="A40" s="22" t="n"/>
      <c r="B40" s="23" t="n"/>
      <c r="C40" s="23" t="n"/>
      <c r="D40" s="23" t="n"/>
      <c r="E40" s="22" t="n"/>
      <c r="F40" s="23" t="n"/>
      <c r="G40" s="23" t="n"/>
      <c r="H40" s="24" t="n"/>
      <c r="I40" s="24" t="n"/>
      <c r="J40" s="24" t="n"/>
      <c r="K40" s="24" t="n"/>
      <c r="L40" s="24" t="n"/>
      <c r="M40" s="24" t="n"/>
      <c r="N40" s="23" t="n"/>
    </row>
    <row r="41">
      <c r="A41" s="22" t="n"/>
      <c r="B41" s="23" t="n"/>
      <c r="C41" s="23" t="n"/>
      <c r="D41" s="23" t="n"/>
      <c r="E41" s="22" t="n"/>
      <c r="F41" s="23" t="n"/>
      <c r="G41" s="23" t="n"/>
      <c r="H41" s="24" t="n"/>
      <c r="I41" s="24" t="n"/>
      <c r="J41" s="24" t="n"/>
      <c r="K41" s="24" t="n"/>
      <c r="L41" s="24" t="n"/>
      <c r="M41" s="24" t="n"/>
      <c r="N41" s="23" t="n"/>
    </row>
    <row r="42">
      <c r="A42" s="22" t="n"/>
      <c r="B42" s="23" t="n"/>
      <c r="C42" s="23" t="n"/>
      <c r="D42" s="23" t="n"/>
      <c r="E42" s="22" t="n"/>
      <c r="F42" s="23" t="n"/>
      <c r="G42" s="23" t="n"/>
      <c r="H42" s="24" t="n"/>
      <c r="I42" s="24" t="n"/>
      <c r="J42" s="24" t="n"/>
      <c r="K42" s="24" t="n"/>
      <c r="L42" s="24" t="n"/>
      <c r="M42" s="24" t="n"/>
      <c r="N42" s="23" t="n"/>
    </row>
    <row r="43">
      <c r="A43" s="22" t="n"/>
      <c r="B43" s="23" t="n"/>
      <c r="C43" s="23" t="n"/>
      <c r="D43" s="23" t="n"/>
      <c r="E43" s="22" t="n"/>
      <c r="F43" s="23" t="n"/>
      <c r="G43" s="23" t="n"/>
      <c r="H43" s="24" t="n"/>
      <c r="I43" s="24" t="n"/>
      <c r="J43" s="24" t="n"/>
      <c r="K43" s="24" t="n"/>
      <c r="L43" s="24" t="n"/>
      <c r="M43" s="24" t="n"/>
      <c r="N43" s="23" t="n"/>
    </row>
    <row r="44">
      <c r="A44" s="22" t="n"/>
      <c r="B44" s="23" t="n"/>
      <c r="C44" s="23" t="n"/>
      <c r="D44" s="23" t="n"/>
      <c r="E44" s="22" t="n"/>
      <c r="F44" s="23" t="n"/>
      <c r="G44" s="23" t="n"/>
      <c r="H44" s="24" t="n"/>
      <c r="I44" s="24" t="n"/>
      <c r="J44" s="24" t="n"/>
      <c r="K44" s="24" t="n"/>
      <c r="L44" s="24" t="n"/>
      <c r="M44" s="24" t="n"/>
      <c r="N44" s="23" t="n"/>
    </row>
    <row r="45">
      <c r="A45" s="22" t="n"/>
      <c r="B45" s="23" t="n"/>
      <c r="C45" s="23" t="n"/>
      <c r="D45" s="23" t="n"/>
      <c r="E45" s="22" t="n"/>
      <c r="F45" s="23" t="n"/>
      <c r="G45" s="23" t="n"/>
      <c r="H45" s="24" t="n"/>
      <c r="I45" s="24" t="n"/>
      <c r="J45" s="24" t="n"/>
      <c r="K45" s="24" t="n"/>
      <c r="L45" s="24" t="n"/>
      <c r="M45" s="24" t="n"/>
      <c r="N45" s="23" t="n"/>
    </row>
    <row r="46">
      <c r="A46" s="22" t="n"/>
      <c r="B46" s="23" t="n"/>
      <c r="C46" s="23" t="n"/>
      <c r="D46" s="23" t="n"/>
      <c r="E46" s="22" t="n"/>
      <c r="F46" s="23" t="n"/>
      <c r="G46" s="23" t="n"/>
      <c r="H46" s="24" t="n"/>
      <c r="I46" s="24" t="n"/>
      <c r="J46" s="24" t="n"/>
      <c r="K46" s="24" t="n"/>
      <c r="L46" s="24" t="n"/>
      <c r="M46" s="24" t="n"/>
      <c r="N46" s="23" t="n"/>
    </row>
    <row r="47">
      <c r="A47" s="22" t="n"/>
      <c r="B47" s="23" t="n"/>
      <c r="C47" s="23" t="n"/>
      <c r="D47" s="23" t="n"/>
      <c r="E47" s="22" t="n"/>
      <c r="F47" s="23" t="n"/>
      <c r="G47" s="23" t="n"/>
      <c r="H47" s="24" t="n"/>
      <c r="I47" s="24" t="n"/>
      <c r="J47" s="24" t="n"/>
      <c r="K47" s="24" t="n"/>
      <c r="L47" s="24" t="n"/>
      <c r="M47" s="24" t="n"/>
      <c r="N47" s="23" t="n"/>
    </row>
    <row r="48">
      <c r="A48" s="22" t="n"/>
      <c r="B48" s="23" t="n"/>
      <c r="C48" s="23" t="n"/>
      <c r="D48" s="23" t="n"/>
      <c r="E48" s="22" t="n"/>
      <c r="F48" s="23" t="n"/>
      <c r="G48" s="23" t="n"/>
      <c r="H48" s="24" t="n"/>
      <c r="I48" s="24" t="n"/>
      <c r="J48" s="24" t="n"/>
      <c r="K48" s="24" t="n"/>
      <c r="L48" s="24" t="n"/>
      <c r="M48" s="24" t="n"/>
      <c r="N48" s="23" t="n"/>
    </row>
    <row r="49">
      <c r="A49" s="22" t="n"/>
      <c r="B49" s="23" t="n"/>
      <c r="C49" s="23" t="n"/>
      <c r="D49" s="23" t="n"/>
      <c r="E49" s="22" t="n"/>
      <c r="F49" s="23" t="n"/>
      <c r="G49" s="23" t="n"/>
      <c r="H49" s="24" t="n"/>
      <c r="I49" s="24" t="n"/>
      <c r="J49" s="24" t="n"/>
      <c r="K49" s="24" t="n"/>
      <c r="L49" s="24" t="n"/>
      <c r="M49" s="24" t="n"/>
      <c r="N49" s="23" t="n"/>
    </row>
    <row r="50">
      <c r="A50" s="22" t="n"/>
      <c r="B50" s="23" t="n"/>
      <c r="C50" s="23" t="n"/>
      <c r="D50" s="23" t="n"/>
      <c r="E50" s="22" t="n"/>
      <c r="F50" s="23" t="n"/>
      <c r="G50" s="23" t="n"/>
      <c r="H50" s="24" t="n"/>
      <c r="I50" s="24" t="n"/>
      <c r="J50" s="24" t="n"/>
      <c r="K50" s="24" t="n"/>
      <c r="L50" s="24" t="n"/>
      <c r="M50" s="24" t="n"/>
      <c r="N50" s="23" t="n"/>
    </row>
    <row r="51">
      <c r="A51" s="22" t="n"/>
      <c r="B51" s="23" t="n"/>
      <c r="C51" s="23" t="n"/>
      <c r="D51" s="23" t="n"/>
      <c r="E51" s="22" t="n"/>
      <c r="F51" s="23" t="n"/>
      <c r="G51" s="23" t="n"/>
      <c r="H51" s="24" t="n"/>
      <c r="I51" s="24" t="n"/>
      <c r="J51" s="24" t="n"/>
      <c r="K51" s="24" t="n"/>
      <c r="L51" s="24" t="n"/>
      <c r="M51" s="24" t="n"/>
      <c r="N51" s="23" t="n"/>
    </row>
    <row r="52">
      <c r="A52" s="22" t="n"/>
      <c r="B52" s="23" t="n"/>
      <c r="C52" s="23" t="n"/>
      <c r="D52" s="23" t="n"/>
      <c r="E52" s="22" t="n"/>
      <c r="F52" s="23" t="n"/>
      <c r="G52" s="23" t="n"/>
      <c r="H52" s="24" t="n"/>
      <c r="I52" s="24" t="n"/>
      <c r="J52" s="24" t="n"/>
      <c r="K52" s="24" t="n"/>
      <c r="L52" s="24" t="n"/>
      <c r="M52" s="24" t="n"/>
      <c r="N52" s="23" t="n"/>
    </row>
    <row r="53">
      <c r="A53" s="22" t="n"/>
      <c r="B53" s="23" t="n"/>
      <c r="C53" s="23" t="n"/>
      <c r="D53" s="23" t="n"/>
      <c r="E53" s="22" t="n"/>
      <c r="F53" s="23" t="n"/>
      <c r="G53" s="23" t="n"/>
      <c r="H53" s="24" t="n"/>
      <c r="I53" s="24" t="n"/>
      <c r="J53" s="24" t="n"/>
      <c r="K53" s="24" t="n"/>
      <c r="L53" s="24" t="n"/>
      <c r="M53" s="24" t="n"/>
      <c r="N53" s="23" t="n"/>
    </row>
    <row r="54">
      <c r="A54" s="22" t="n"/>
      <c r="B54" s="23" t="n"/>
      <c r="C54" s="23" t="n"/>
      <c r="D54" s="23" t="n"/>
      <c r="E54" s="22" t="n"/>
      <c r="F54" s="23" t="n"/>
      <c r="G54" s="23" t="n"/>
      <c r="H54" s="24" t="n"/>
      <c r="I54" s="24" t="n"/>
      <c r="J54" s="24" t="n"/>
      <c r="K54" s="24" t="n"/>
      <c r="L54" s="24" t="n"/>
      <c r="M54" s="24" t="n"/>
      <c r="N54" s="23" t="n"/>
    </row>
    <row r="55">
      <c r="A55" s="22" t="n"/>
      <c r="B55" s="23" t="n"/>
      <c r="C55" s="23" t="n"/>
      <c r="D55" s="23" t="n"/>
      <c r="E55" s="22" t="n"/>
      <c r="F55" s="23" t="n"/>
      <c r="G55" s="23" t="n"/>
      <c r="H55" s="24" t="n"/>
      <c r="I55" s="24" t="n"/>
      <c r="J55" s="24" t="n"/>
      <c r="K55" s="24" t="n"/>
      <c r="L55" s="24" t="n"/>
      <c r="M55" s="24" t="n"/>
      <c r="N55" s="23" t="n"/>
    </row>
  </sheetData>
  <pageMargins left="0.75" right="0.75" top="1" bottom="1" header="0.5" footer="0.5"/>
  <pageSetup orientation="landscape" fitToHeight="0" fitToWidth="1"/>
  <headerFooter>
    <oddHeader>&amp;C&amp;9 MSC Articleship Program | Work Simulation</oddHeader>
    <oddFooter>&amp;C&amp;9 CA Padam Bhansali | My Student Club ·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5487F"/>
    <outlinePr summaryBelow="1" summaryRight="1"/>
    <pageSetUpPr fitToPage="1"/>
  </sheetPr>
  <dimension ref="B1:L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0" customWidth="1" min="3" max="3"/>
    <col width="20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D1" s="1" t="inlineStr">
        <is>
          <t>Tie the register to the TB</t>
        </is>
      </c>
    </row>
    <row r="2" ht="18" customHeight="1">
      <c r="D2" s="2" t="inlineStr">
        <is>
          <t>January–March 2027 · whole rupees</t>
        </is>
      </c>
    </row>
    <row r="4" ht="30" customHeight="1">
      <c r="B4" s="25" t="inlineStr">
        <is>
          <t>Line</t>
        </is>
      </c>
      <c r="C4" s="25" t="inlineStr">
        <is>
          <t>Purchases – packing materials</t>
        </is>
      </c>
      <c r="D4" s="25" t="inlineStr">
        <is>
          <t>Purchases – stores and consumables</t>
        </is>
      </c>
      <c r="F4" s="3" t="inlineStr">
        <is>
          <t>How to fill it</t>
        </is>
      </c>
      <c r="G4" s="4" t="n"/>
      <c r="H4" s="4" t="n"/>
      <c r="I4" s="4" t="n"/>
      <c r="J4" s="4" t="n"/>
      <c r="K4" s="4" t="n"/>
      <c r="L4" s="5" t="n"/>
    </row>
    <row r="5">
      <c r="B5" s="12" t="inlineStr">
        <is>
          <t>Varun’s SUMIFS on the raw sheet</t>
        </is>
      </c>
      <c r="C5" s="15">
        <f>SUMIFS(Varun!$H$6:$H$71, Varun!$G$6:$G$71, C$4)</f>
        <v>3278500</v>
      </c>
      <c r="D5" s="15">
        <f>SUMIFS(Varun!$H$6:$H$71, Varun!$G$6:$G$71, D$4)</f>
        <v>7430000</v>
      </c>
      <c r="F5" s="6" t="inlineStr">
        <is>
          <t>Corrections: plus adds back, minus takes out.</t>
        </is>
      </c>
      <c r="G5" s="7" t="n"/>
      <c r="H5" s="7" t="n"/>
      <c r="I5" s="7" t="n"/>
      <c r="J5" s="7" t="n"/>
      <c r="K5" s="7" t="n"/>
      <c r="L5" s="8" t="n"/>
    </row>
    <row r="6">
      <c r="B6" s="23" t="inlineStr">
        <is>
          <t>Correction 1 (which row, and why)</t>
        </is>
      </c>
      <c r="C6" s="24" t="n"/>
      <c r="D6" s="24" t="n"/>
      <c r="F6" s="6" t="inlineStr">
        <is>
          <t>Your register: SUMIFS on the Register sheet.</t>
        </is>
      </c>
      <c r="G6" s="7" t="n"/>
      <c r="H6" s="7" t="n"/>
      <c r="I6" s="7" t="n"/>
      <c r="J6" s="7" t="n"/>
      <c r="K6" s="7" t="n"/>
      <c r="L6" s="8" t="n"/>
    </row>
    <row r="7">
      <c r="B7" s="23" t="inlineStr">
        <is>
          <t>Correction 2 (which row, and why)</t>
        </is>
      </c>
      <c r="C7" s="24" t="n"/>
      <c r="D7" s="24" t="n"/>
      <c r="F7" s="6" t="inlineStr">
        <is>
          <t>TB: the column that covers January–March.</t>
        </is>
      </c>
      <c r="G7" s="7" t="n"/>
      <c r="H7" s="7" t="n"/>
      <c r="I7" s="7" t="n"/>
      <c r="J7" s="7" t="n"/>
      <c r="K7" s="7" t="n"/>
      <c r="L7" s="8" t="n"/>
    </row>
    <row r="8">
      <c r="B8" s="13" t="inlineStr">
        <is>
          <t>Your register, January–March</t>
        </is>
      </c>
      <c r="C8" s="24" t="n"/>
      <c r="D8" s="24" t="n"/>
      <c r="F8" s="6" t="inlineStr">
        <is>
          <t>Difference: register less TB.</t>
        </is>
      </c>
      <c r="G8" s="7" t="n"/>
      <c r="H8" s="7" t="n"/>
      <c r="I8" s="7" t="n"/>
      <c r="J8" s="7" t="n"/>
      <c r="K8" s="7" t="n"/>
      <c r="L8" s="8" t="n"/>
    </row>
    <row r="9">
      <c r="B9" s="12" t="inlineStr">
        <is>
          <t>TB, the same three months</t>
        </is>
      </c>
      <c r="C9" s="24" t="n"/>
      <c r="D9" s="24" t="n"/>
      <c r="F9" s="6" t="inlineStr">
        <is>
          <t>Enter the figures in the Work Simulation.</t>
        </is>
      </c>
      <c r="G9" s="7" t="n"/>
      <c r="H9" s="7" t="n"/>
      <c r="I9" s="7" t="n"/>
      <c r="J9" s="7" t="n"/>
      <c r="K9" s="7" t="n"/>
      <c r="L9" s="8" t="n"/>
    </row>
    <row r="10">
      <c r="B10" s="12" t="inlineStr">
        <is>
          <t>Difference</t>
        </is>
      </c>
      <c r="C10" s="24" t="n"/>
      <c r="D10" s="24" t="n"/>
      <c r="F10" s="9" t="inlineStr"/>
      <c r="G10" s="10" t="n"/>
      <c r="H10" s="10" t="n"/>
      <c r="I10" s="10" t="n"/>
      <c r="J10" s="10" t="n"/>
      <c r="K10" s="10" t="n"/>
      <c r="L10" s="11" t="n"/>
    </row>
  </sheetData>
  <pageMargins left="0.75" right="0.75" top="1" bottom="1" header="0.5" footer="0.5"/>
  <pageSetup orientation="landscape" fitToHeight="0" fitToWidth="1"/>
  <headerFooter>
    <oddHeader>&amp;C&amp;9 MSC Articleship Program | Work Simulation</oddHeader>
    <oddFooter>&amp;C&amp;9 CA Padam Bhansali | My Student Club · &amp;P of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E5487F"/>
    <outlinePr summaryBelow="1" summaryRight="1"/>
    <pageSetUpPr fitToPage="1"/>
  </sheetPr>
  <dimension ref="A1:J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D1" s="1" t="inlineStr">
        <is>
          <t>Supplier by month</t>
        </is>
      </c>
    </row>
    <row r="2" ht="18" customHeight="1">
      <c r="D2" s="2" t="inlineStr">
        <is>
          <t>A PivotTable from your register</t>
        </is>
      </c>
    </row>
    <row r="4">
      <c r="A4" s="3" t="inlineStr">
        <is>
          <t>Build it here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5" t="n"/>
    </row>
    <row r="5">
      <c r="A5" s="6" t="inlineStr">
        <is>
          <t>Source: your register, Register!A5:N55, headings included.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8" t="n"/>
    </row>
    <row r="6">
      <c r="A6" s="6" t="inlineStr">
        <is>
          <t>Rows: Purchase Ledger, then Particulars. Columns: Date, grouped by month.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8" t="n"/>
    </row>
    <row r="7">
      <c r="A7" s="6" t="inlineStr">
        <is>
          <t>Values: Sum of Taxable Value (a Count means a blank cell or a text amount is still in the source).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8" t="n"/>
    </row>
    <row r="8">
      <c r="A8" s="6" t="inlineStr">
        <is>
          <t>Read each supplier across, January to March.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8" t="n"/>
    </row>
    <row r="9">
      <c r="A9" s="9" t="inlineStr">
        <is>
          <t>What one point would you give Rehan? Write it in the Work Simulation.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1" t="n"/>
    </row>
  </sheetData>
  <pageMargins left="0.75" right="0.75" top="1" bottom="1" header="0.5" footer="0.5"/>
  <pageSetup orientation="landscape" fitToHeight="0" fitToWidth="1"/>
  <headerFooter>
    <oddHeader>&amp;C&amp;9 MSC Articleship Program | Work Simulation</oddHeader>
    <oddFooter>&amp;C&amp;9 CA Padam Bhansali | My Student Club ·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Pallavi Shinde</dc:creator>
  <dc:title xmlns:dc="http://purl.org/dc/elements/1.1/">Tamhini · purchase register, January–March 2027</dc:title>
  <dcterms:created xmlns:dcterms="http://purl.org/dc/terms/" xmlns:xsi="http://www.w3.org/2001/XMLSchema-instance" xsi:type="dcterms:W3CDTF">2027-04-20T12:30:00Z</dcterms:created>
  <dcterms:modified xmlns:dcterms="http://purl.org/dc/terms/" xmlns:xsi="http://www.w3.org/2001/XMLSchema-instance" xsi:type="dcterms:W3CDTF">2027-04-20T15:35:00Z</dcterms:modified>
  <cp:lastModifiedBy>Varun Shetty</cp:lastModifiedBy>
</cp:coreProperties>
</file>